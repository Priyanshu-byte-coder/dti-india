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Coding" sheetId="2" state="visible" r:id="rId2"/>
    <sheet xmlns:r="http://schemas.openxmlformats.org/officeDocument/2006/relationships" name="Progress" sheetId="3" state="visible" r:id="rId3"/>
    <sheet xmlns:r="http://schemas.openxmlformats.org/officeDocument/2006/relationships" name="Lists" sheetId="4" state="hidden" r:id="rId4"/>
  </sheets>
  <definedNames>
    <definedName name="_xlnm._FilterDatabase" localSheetId="1" hidden="1">'Coding'!$A$2:$AI$202</definedName>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b val="1"/>
      <color rgb="001F3864"/>
      <sz val="16"/>
    </font>
    <font>
      <i val="1"/>
      <color rgb="00595959"/>
    </font>
    <font>
      <b val="1"/>
      <color rgb="001F3864"/>
      <sz val="12"/>
    </font>
    <font>
      <b val="1"/>
    </font>
    <font>
      <b val="1"/>
      <color rgb="00FFFFFF"/>
    </font>
    <font>
      <i val="1"/>
    </font>
    <font>
      <sz val="10"/>
    </font>
    <font>
      <b val="1"/>
      <color rgb="001F3864"/>
      <sz val="14"/>
    </font>
  </fonts>
  <fills count="12">
    <fill>
      <patternFill/>
    </fill>
    <fill>
      <patternFill patternType="gray125"/>
    </fill>
    <fill>
      <patternFill patternType="solid">
        <fgColor rgb="00FFF9E5"/>
      </patternFill>
    </fill>
    <fill>
      <patternFill patternType="solid">
        <fgColor rgb="001F3864"/>
      </patternFill>
    </fill>
    <fill>
      <patternFill patternType="solid">
        <fgColor rgb="00595959"/>
      </patternFill>
    </fill>
    <fill>
      <patternFill patternType="solid">
        <fgColor rgb="002F5597"/>
      </patternFill>
    </fill>
    <fill>
      <patternFill patternType="solid">
        <fgColor rgb="007F6000"/>
      </patternFill>
    </fill>
    <fill>
      <patternFill patternType="solid">
        <fgColor rgb="00385723"/>
      </patternFill>
    </fill>
    <fill>
      <patternFill patternType="solid">
        <fgColor rgb="00833C0B"/>
      </patternFill>
    </fill>
    <fill>
      <patternFill patternType="solid">
        <fgColor rgb="00808080"/>
      </patternFill>
    </fill>
    <fill>
      <patternFill patternType="solid">
        <fgColor rgb="00F2F2F2"/>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2" borderId="1" pivotButton="0" quotePrefix="0" xfId="0"/>
    <xf numFmtId="0" fontId="0" fillId="0" borderId="0" applyAlignment="1" pivotButton="0" quotePrefix="0" xfId="0">
      <alignment horizontal="right" vertical="top"/>
    </xf>
    <xf numFmtId="0" fontId="0" fillId="0" borderId="0" applyAlignment="1" pivotButton="0" quotePrefix="0" xfId="0">
      <alignment vertical="top" wrapText="1"/>
    </xf>
    <xf numFmtId="0" fontId="5" fillId="3" borderId="1" applyAlignment="1" pivotButton="0" quotePrefix="0" xfId="0">
      <alignment horizontal="center" vertical="top" wrapText="1"/>
    </xf>
    <xf numFmtId="0" fontId="4" fillId="0" borderId="1" applyAlignment="1" pivotButton="0" quotePrefix="0" xfId="0">
      <alignment vertical="top" wrapText="1"/>
    </xf>
    <xf numFmtId="0" fontId="0" fillId="0" borderId="1" applyAlignment="1" pivotButton="0" quotePrefix="0" xfId="0">
      <alignment vertical="top" wrapText="1"/>
    </xf>
    <xf numFmtId="0" fontId="6" fillId="0" borderId="0" applyAlignment="1" pivotButton="0" quotePrefix="0" xfId="0">
      <alignment vertical="top" wrapText="1"/>
    </xf>
    <xf numFmtId="0" fontId="5" fillId="4" borderId="0" applyAlignment="1" pivotButton="0" quotePrefix="0" xfId="0">
      <alignment horizontal="center" vertical="top" wrapText="1"/>
    </xf>
    <xf numFmtId="0" fontId="5" fillId="5" borderId="0" applyAlignment="1" pivotButton="0" quotePrefix="0" xfId="0">
      <alignment horizontal="center" vertical="top" wrapText="1"/>
    </xf>
    <xf numFmtId="0" fontId="5" fillId="6" borderId="0" applyAlignment="1" pivotButton="0" quotePrefix="0" xfId="0">
      <alignment horizontal="center" vertical="top" wrapText="1"/>
    </xf>
    <xf numFmtId="0" fontId="5" fillId="7" borderId="0" applyAlignment="1" pivotButton="0" quotePrefix="0" xfId="0">
      <alignment horizontal="center" vertical="top" wrapText="1"/>
    </xf>
    <xf numFmtId="0" fontId="5" fillId="8" borderId="0" applyAlignment="1" pivotButton="0" quotePrefix="0" xfId="0">
      <alignment horizontal="center" vertical="top" wrapText="1"/>
    </xf>
    <xf numFmtId="0" fontId="5" fillId="9" borderId="0" applyAlignment="1" pivotButton="0" quotePrefix="0" xfId="0">
      <alignment horizontal="center" vertical="top" wrapText="1"/>
    </xf>
    <xf numFmtId="0" fontId="5" fillId="4" borderId="1" applyAlignment="1" pivotButton="0" quotePrefix="0" xfId="0">
      <alignment horizontal="center" vertical="top" wrapText="1"/>
    </xf>
    <xf numFmtId="0" fontId="5" fillId="5" borderId="1" applyAlignment="1" pivotButton="0" quotePrefix="0" xfId="0">
      <alignment horizontal="center" vertical="top" wrapText="1"/>
    </xf>
    <xf numFmtId="0" fontId="5" fillId="6" borderId="1" applyAlignment="1" pivotButton="0" quotePrefix="0" xfId="0">
      <alignment horizontal="center" vertical="top" wrapText="1"/>
    </xf>
    <xf numFmtId="0" fontId="5" fillId="7" borderId="1" applyAlignment="1" pivotButton="0" quotePrefix="0" xfId="0">
      <alignment horizontal="center" vertical="top" wrapText="1"/>
    </xf>
    <xf numFmtId="0" fontId="5" fillId="8" borderId="1" applyAlignment="1" pivotButton="0" quotePrefix="0" xfId="0">
      <alignment horizontal="center" vertical="top" wrapText="1"/>
    </xf>
    <xf numFmtId="0" fontId="5" fillId="9" borderId="1" applyAlignment="1" pivotButton="0" quotePrefix="0" xfId="0">
      <alignment horizontal="center" vertical="top" wrapText="1"/>
    </xf>
    <xf numFmtId="0" fontId="0" fillId="10" borderId="1" applyAlignment="1" pivotButton="0" quotePrefix="0" xfId="0">
      <alignment vertical="top" wrapText="1"/>
    </xf>
    <xf numFmtId="0" fontId="7" fillId="10" borderId="1" applyAlignment="1" pivotButton="0" quotePrefix="0" xfId="0">
      <alignment vertical="top" wrapText="1"/>
    </xf>
    <xf numFmtId="0" fontId="0" fillId="2" borderId="1" applyAlignment="1" pivotButton="0" quotePrefix="0" xfId="0">
      <alignment horizontal="center" vertical="top" wrapText="1"/>
    </xf>
    <xf numFmtId="0" fontId="0" fillId="2" borderId="1" applyAlignment="1" pivotButton="0" quotePrefix="0" xfId="0">
      <alignment vertical="top" wrapText="1"/>
    </xf>
    <xf numFmtId="0" fontId="0" fillId="0" borderId="1" applyAlignment="1" pivotButton="0" quotePrefix="0" xfId="0">
      <alignment horizontal="center" vertical="top" wrapText="1"/>
    </xf>
    <xf numFmtId="0" fontId="8" fillId="0" borderId="0" pivotButton="0" quotePrefix="0" xfId="0"/>
    <xf numFmtId="0" fontId="0" fillId="0" borderId="1" pivotButton="0" quotePrefix="0" xfId="0"/>
    <xf numFmtId="164" fontId="0" fillId="0" borderId="1" pivotButton="0" quotePrefix="0" xfId="0"/>
    <xf numFmtId="0" fontId="0" fillId="11" borderId="1" pivotButton="0" quotePrefix="0" xfId="0"/>
    <xf numFmtId="0" fontId="4" fillId="11" borderId="1" pivotButton="0" quotePrefix="0" xfId="0"/>
    <xf numFmtId="164" fontId="4" fillId="11" borderId="1" pivotButton="0" quotePrefix="0" xfId="0"/>
  </cellXfs>
  <cellStyles count="1">
    <cellStyle name="Normal" xfId="0" builtinId="0" hidden="0"/>
  </cellStyles>
  <dxfs count="3">
    <dxf>
      <fill>
        <patternFill patternType="solid">
          <fgColor rgb="00F8CBAD"/>
          <bgColor rgb="00F8CBAD"/>
        </patternFill>
      </fill>
    </dxf>
    <dxf>
      <fill>
        <patternFill patternType="solid">
          <fgColor rgb="00C6EFCE"/>
          <bgColor rgb="00C6EFCE"/>
        </patternFill>
      </fill>
    </dxf>
    <dxf>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DTI form</author>
  </authors>
  <commentList>
    <comment ref="E2" authorId="0" shapeId="0">
      <text>
        <t>Q1: Is the description detailed enough to judge digital tasks?</t>
      </text>
    </comment>
    <comment ref="F2" authorId="0" shapeId="0">
      <text>
        <t>Q2: Basic digital operation: routine use of computers, phones, POS/billing machines, standard software.</t>
      </text>
    </comment>
    <comment ref="G2" authorId="0" shapeId="0">
      <text>
        <t>Q3: Digital information processing: searching, recording, managing, analysing digital information.</t>
      </text>
    </comment>
    <comment ref="H2" authorId="0" shapeId="0">
      <text>
        <t>Q4: Digital communication &amp; collaboration: e-mail, messaging, video calls, platforms/portals (voice calls do not count).</t>
      </text>
    </comment>
    <comment ref="I2" authorId="0" shapeId="0">
      <text>
        <t>Q5: Advanced / specialised digital tools: job-specific software, programming, CAD, GIS, analytics, CNC/PLC systems.</t>
      </text>
    </comment>
    <comment ref="J2" authorId="0" shapeId="0">
      <text>
        <t>Q6: Digital problem solving &amp; content creation: creating digital content or solving non-routine problems with digital tools.</t>
      </text>
    </comment>
    <comment ref="K2" authorId="0" shapeId="0">
      <text>
        <t>Q7: For each score of 1 or more, which words in the text support it?
Exact words supporting your Q2 score. Blank if Q2 = 0.</t>
      </text>
    </comment>
    <comment ref="L2" authorId="0" shapeId="0">
      <text>
        <t>Q7: For each score of 1 or more, which words in the text support it?
Exact words supporting your Q3 score. Blank if Q3 = 0.</t>
      </text>
    </comment>
    <comment ref="M2" authorId="0" shapeId="0">
      <text>
        <t>Q7: For each score of 1 or more, which words in the text support it?
Exact words supporting your Q4 score. Blank if Q4 = 0.</t>
      </text>
    </comment>
    <comment ref="N2" authorId="0" shapeId="0">
      <text>
        <t>Q7: For each score of 1 or more, which words in the text support it?
Exact words supporting your Q5 score. Blank if Q5 = 0.</t>
      </text>
    </comment>
    <comment ref="O2" authorId="0" shapeId="0">
      <text>
        <t>Q7: For each score of 1 or more, which words in the text support it?
Exact words supporting your Q6 score. Blank if Q6 = 0.</t>
      </text>
    </comment>
    <comment ref="P2" authorId="0" shapeId="0">
      <text>
        <t>Q8: Confidence in your Q2 score. 1 low · 2 medium · 3 high.</t>
      </text>
    </comment>
    <comment ref="Q2" authorId="0" shapeId="0">
      <text>
        <t>Q8: Confidence in your Q3 score. 1 low · 2 medium · 3 high.</t>
      </text>
    </comment>
    <comment ref="R2" authorId="0" shapeId="0">
      <text>
        <t>Q8: Confidence in your Q4 score. 1 low · 2 medium · 3 high.</t>
      </text>
    </comment>
    <comment ref="S2" authorId="0" shapeId="0">
      <text>
        <t>Q8: Confidence in your Q5 score. 1 low · 2 medium · 3 high.</t>
      </text>
    </comment>
    <comment ref="T2" authorId="0" shapeId="0">
      <text>
        <t>Q8: Confidence in your Q6 score. 1 low · 2 medium · 3 high.</t>
      </text>
    </comment>
    <comment ref="U2" authorId="0" shapeId="0">
      <text>
        <t>Q9: Overall, how digital is this occupation? (do not add up Q2–Q6)</t>
      </text>
    </comment>
    <comment ref="V2" authorId="0" shapeId="0">
      <text>
        <t>Q10: Is digital work core to the job or a supporting tool?</t>
      </text>
    </comment>
    <comment ref="W2" authorId="0" shapeId="0">
      <text>
        <t>Q11: From your own knowledge: in India today, is this job more digital than the text suggests, the same, or less?</t>
      </text>
    </comment>
    <comment ref="X2" authorId="0" shapeId="0">
      <text>
        <t>Q12: Anything unclear or not fitting the rules?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E41"/>
  <sheetViews>
    <sheetView showGridLines="0" workbookViewId="0">
      <selection activeCell="A1" sqref="A1"/>
    </sheetView>
  </sheetViews>
  <sheetFormatPr baseColWidth="8" defaultRowHeight="15"/>
  <cols>
    <col width="7" customWidth="1" min="1" max="1"/>
    <col width="62" customWidth="1" min="2" max="2"/>
    <col width="26" customWidth="1" min="3" max="3"/>
    <col width="18" customWidth="1" min="4" max="4"/>
    <col width="46" customWidth="1" min="5" max="5"/>
  </cols>
  <sheetData>
    <row r="1">
      <c r="A1" s="1" t="inlineStr">
        <is>
          <t>Digital Task Intensity (DTI) — Human Validation Form, NCO-2015 occupations</t>
        </is>
      </c>
    </row>
    <row r="2">
      <c r="A2" s="2" t="inlineStr">
        <is>
          <t>200 occupations, a stratified sample of the NCO-2015 8-digit occupations. Code each occupation on the "Coding" sheet. Yellow cells are for your answers.</t>
        </is>
      </c>
    </row>
    <row r="4">
      <c r="A4" s="3" t="inlineStr">
        <is>
          <t>Coder details</t>
        </is>
      </c>
    </row>
    <row r="5">
      <c r="B5" s="4" t="inlineStr">
        <is>
          <t>Coder name</t>
        </is>
      </c>
      <c r="C5" s="5" t="n"/>
    </row>
    <row r="6">
      <c r="B6" s="4" t="inlineStr">
        <is>
          <t>Coder ID</t>
        </is>
      </c>
      <c r="C6" s="5" t="inlineStr">
        <is>
          <t>C2</t>
        </is>
      </c>
    </row>
    <row r="7">
      <c r="B7" s="4" t="inlineStr">
        <is>
          <t>Date started</t>
        </is>
      </c>
      <c r="C7" s="5" t="n"/>
    </row>
    <row r="8">
      <c r="B8" s="4" t="inlineStr">
        <is>
          <t>Date finished</t>
        </is>
      </c>
      <c r="C8" s="5" t="n"/>
    </row>
    <row r="10">
      <c r="A10" s="3" t="inlineStr">
        <is>
          <t>Rules</t>
        </is>
      </c>
    </row>
    <row r="11" ht="30" customHeight="1">
      <c r="A11" s="6" t="inlineStr">
        <is>
          <t>1.</t>
        </is>
      </c>
      <c r="B11" s="7" t="inlineStr">
        <is>
          <t>Scale for Q2–Q6: 0 = none · 1 = incidental (occasional, simple) · 2 = regular, basic · 3 = regular, advanced / job-specific · 4 = core (this is the main work).</t>
        </is>
      </c>
    </row>
    <row r="12" ht="16" customHeight="1">
      <c r="A12" s="6" t="inlineStr">
        <is>
          <t>2.</t>
        </is>
      </c>
      <c r="B12" s="7" t="inlineStr">
        <is>
          <t>Score only from the occupation text; if the text is silent, score 0.</t>
        </is>
      </c>
    </row>
    <row r="13" ht="30" customHeight="1">
      <c r="A13" s="6" t="inlineStr">
        <is>
          <t>3.</t>
        </is>
      </c>
      <c r="B13" s="7" t="inlineStr">
        <is>
          <t>Q7: for every Q2–Q6 score of 1 or more, copy the exact words from the description into the matching Q7 evidence column. Leave it blank for a score of 0. A missing quote turns the cell orange.</t>
        </is>
      </c>
    </row>
    <row r="14" ht="16" customHeight="1">
      <c r="A14" s="6" t="inlineStr">
        <is>
          <t>4.</t>
        </is>
      </c>
      <c r="B14" s="7" t="inlineStr">
        <is>
          <t>Q8: give one confidence value (1 low, 2 medium, 3 high) for each of Q2–Q6, in the five Q8 columns.</t>
        </is>
      </c>
    </row>
    <row r="15" ht="16" customHeight="1">
      <c r="A15" s="6" t="inlineStr">
        <is>
          <t>5.</t>
        </is>
      </c>
      <c r="B15" s="7" t="inlineStr">
        <is>
          <t>Q9 is your overall judgement on 0–10. Do not add up Q2–Q6.</t>
        </is>
      </c>
    </row>
    <row r="16" ht="16" customHeight="1">
      <c r="A16" s="6" t="inlineStr">
        <is>
          <t>6.</t>
        </is>
      </c>
      <c r="B16" s="7" t="inlineStr">
        <is>
          <t>Q11 is the only question where you use your own knowledge of India today rather than the text.</t>
        </is>
      </c>
    </row>
    <row r="17" ht="16" customHeight="1">
      <c r="A17" s="6" t="inlineStr">
        <is>
          <t>7.</t>
        </is>
      </c>
      <c r="B17" s="7" t="inlineStr">
        <is>
          <t>Code blind and on your own: do not look at LLM scores or other coders' sheets, and do not discuss scores with other coders until everyone has finished. Do not edit the grey columns.</t>
        </is>
      </c>
    </row>
    <row r="18" ht="16" customHeight="1">
      <c r="A18" s="6" t="inlineStr">
        <is>
          <t>8.</t>
        </is>
      </c>
      <c r="B18" s="7" t="inlineStr">
        <is>
          <t>The Status column updates itself: Not started → Incomplete → Add evidence → Complete.</t>
        </is>
      </c>
    </row>
    <row r="19">
      <c r="A19" s="6" t="inlineStr">
        <is>
          <t>9.</t>
        </is>
      </c>
      <c r="B19" s="7" t="inlineStr">
        <is>
          <t>Judge each question separately. Q2–Q6 measure different things and often differ for the same job. Q7 evidence must be words copied from the description; a cell that holds only a number is rejected.</t>
        </is>
      </c>
    </row>
    <row r="20">
      <c r="A20" s="3" t="inlineStr">
        <is>
          <t>Questions</t>
        </is>
      </c>
    </row>
    <row r="21">
      <c r="A21" s="8" t="inlineStr">
        <is>
          <t>Q</t>
        </is>
      </c>
      <c r="B21" s="8" t="inlineStr">
        <is>
          <t>Question</t>
        </is>
      </c>
      <c r="C21" s="8" t="inlineStr">
        <is>
          <t>Answer format</t>
        </is>
      </c>
      <c r="D21" s="8" t="inlineStr">
        <is>
          <t>Where to enter</t>
        </is>
      </c>
      <c r="E21" s="8" t="inlineStr">
        <is>
          <t>Example answer (Accounts Clerk below)</t>
        </is>
      </c>
    </row>
    <row r="22" ht="15" customHeight="1">
      <c r="A22" s="9" t="inlineStr">
        <is>
          <t>Q1</t>
        </is>
      </c>
      <c r="B22" s="10" t="inlineStr">
        <is>
          <t>Is the description detailed enough to judge digital tasks?</t>
        </is>
      </c>
      <c r="C22" s="10" t="inlineStr">
        <is>
          <t>Yes / Partly / No</t>
        </is>
      </c>
      <c r="D22" s="10" t="inlineStr">
        <is>
          <t>Q1 column</t>
        </is>
      </c>
      <c r="E22" s="10" t="inlineStr">
        <is>
          <t>Yes</t>
        </is>
      </c>
    </row>
    <row r="23" ht="30" customHeight="1">
      <c r="A23" s="9" t="inlineStr">
        <is>
          <t>Q2</t>
        </is>
      </c>
      <c r="B23" s="10" t="inlineStr">
        <is>
          <t>Basic digital operation: routine use of computers, phones, POS/billing machines, standard software.</t>
        </is>
      </c>
      <c r="C23" s="10" t="inlineStr">
        <is>
          <t>0–4</t>
        </is>
      </c>
      <c r="D23" s="10" t="inlineStr">
        <is>
          <t>Q2 column</t>
        </is>
      </c>
      <c r="E23" s="10" t="inlineStr">
        <is>
          <t>2</t>
        </is>
      </c>
    </row>
    <row r="24" ht="30" customHeight="1">
      <c r="A24" s="9" t="inlineStr">
        <is>
          <t>Q3</t>
        </is>
      </c>
      <c r="B24" s="10" t="inlineStr">
        <is>
          <t>Digital information processing: searching, recording, managing, analysing digital information.</t>
        </is>
      </c>
      <c r="C24" s="10" t="inlineStr">
        <is>
          <t>0–4</t>
        </is>
      </c>
      <c r="D24" s="10" t="inlineStr">
        <is>
          <t>Q3 column</t>
        </is>
      </c>
      <c r="E24" s="10" t="inlineStr">
        <is>
          <t>3</t>
        </is>
      </c>
    </row>
    <row r="25" ht="30" customHeight="1">
      <c r="A25" s="9" t="inlineStr">
        <is>
          <t>Q4</t>
        </is>
      </c>
      <c r="B25" s="10" t="inlineStr">
        <is>
          <t>Digital communication &amp; collaboration: e-mail, messaging, video calls, platforms/portals (voice calls do not count).</t>
        </is>
      </c>
      <c r="C25" s="10" t="inlineStr">
        <is>
          <t>0–4</t>
        </is>
      </c>
      <c r="D25" s="10" t="inlineStr">
        <is>
          <t>Q4 column</t>
        </is>
      </c>
      <c r="E25" s="10" t="inlineStr">
        <is>
          <t>2</t>
        </is>
      </c>
    </row>
    <row r="26" ht="30" customHeight="1">
      <c r="A26" s="9" t="inlineStr">
        <is>
          <t>Q5</t>
        </is>
      </c>
      <c r="B26" s="10" t="inlineStr">
        <is>
          <t>Advanced / specialised digital tools: job-specific software, programming, CAD, GIS, analytics, CNC/PLC systems.</t>
        </is>
      </c>
      <c r="C26" s="10" t="inlineStr">
        <is>
          <t>0–4</t>
        </is>
      </c>
      <c r="D26" s="10" t="inlineStr">
        <is>
          <t>Q5 column</t>
        </is>
      </c>
      <c r="E26" s="10" t="inlineStr">
        <is>
          <t>2</t>
        </is>
      </c>
    </row>
    <row r="27" ht="30" customHeight="1">
      <c r="A27" s="9" t="inlineStr">
        <is>
          <t>Q6</t>
        </is>
      </c>
      <c r="B27" s="10" t="inlineStr">
        <is>
          <t>Digital problem solving &amp; content creation: creating digital content or solving non-routine problems with digital tools.</t>
        </is>
      </c>
      <c r="C27" s="10" t="inlineStr">
        <is>
          <t>0–4</t>
        </is>
      </c>
      <c r="D27" s="10" t="inlineStr">
        <is>
          <t>Q6 column</t>
        </is>
      </c>
      <c r="E27" s="10" t="inlineStr">
        <is>
          <t>1</t>
        </is>
      </c>
    </row>
    <row r="28" ht="60" customHeight="1">
      <c r="A28" s="9" t="inlineStr">
        <is>
          <t>Q7</t>
        </is>
      </c>
      <c r="B28" s="10" t="inlineStr">
        <is>
          <t>For each score of 1 or more, which words in the text support it?</t>
        </is>
      </c>
      <c r="C28" s="10" t="inlineStr">
        <is>
          <t>Exact words from the text</t>
        </is>
      </c>
      <c r="D28" s="10" t="inlineStr">
        <is>
          <t>Five "Q7 evidence" columns</t>
        </is>
      </c>
      <c r="E28" s="10" t="inlineStr">
        <is>
          <t>Q2 "accounting software"; Q3 "bank reconciliation statements"; Q4 "by e-mail"; Q5 "accounting software"; Q6 "prepares vouchers, invoices"</t>
        </is>
      </c>
    </row>
    <row r="29" ht="15" customHeight="1">
      <c r="A29" s="9" t="inlineStr">
        <is>
          <t>Q8</t>
        </is>
      </c>
      <c r="B29" s="10" t="inlineStr">
        <is>
          <t>How confident are you in each of the five scores (Q2–Q6)?</t>
        </is>
      </c>
      <c r="C29" s="10" t="inlineStr">
        <is>
          <t>1 low · 2 medium · 3 high</t>
        </is>
      </c>
      <c r="D29" s="10" t="inlineStr">
        <is>
          <t>Five "Q8 confidence" columns</t>
        </is>
      </c>
      <c r="E29" s="10" t="inlineStr">
        <is>
          <t>3, 3, 3, 2, 2</t>
        </is>
      </c>
    </row>
    <row r="30" ht="30" customHeight="1">
      <c r="A30" s="9" t="inlineStr">
        <is>
          <t>Q9</t>
        </is>
      </c>
      <c r="B30" s="10" t="inlineStr">
        <is>
          <t>Overall, how digital is this occupation? (do not add up Q2–Q6)</t>
        </is>
      </c>
      <c r="C30" s="10" t="inlineStr">
        <is>
          <t>0–10</t>
        </is>
      </c>
      <c r="D30" s="10" t="inlineStr">
        <is>
          <t>Q9 column</t>
        </is>
      </c>
      <c r="E30" s="10" t="inlineStr">
        <is>
          <t>5</t>
        </is>
      </c>
    </row>
    <row r="31" ht="15" customHeight="1">
      <c r="A31" s="9" t="inlineStr">
        <is>
          <t>Q10</t>
        </is>
      </c>
      <c r="B31" s="10" t="inlineStr">
        <is>
          <t>Is digital work core to the job or a supporting tool?</t>
        </is>
      </c>
      <c r="C31" s="10" t="inlineStr">
        <is>
          <t>Core / Supporting / Not relevant</t>
        </is>
      </c>
      <c r="D31" s="10" t="inlineStr">
        <is>
          <t>Q10 column</t>
        </is>
      </c>
      <c r="E31" s="10" t="inlineStr">
        <is>
          <t>Supporting</t>
        </is>
      </c>
    </row>
    <row r="32" ht="30" customHeight="1">
      <c r="A32" s="9" t="inlineStr">
        <is>
          <t>Q11</t>
        </is>
      </c>
      <c r="B32" s="10" t="inlineStr">
        <is>
          <t>From your own knowledge: in India today, is this job more digital than the text suggests, the same, or less?</t>
        </is>
      </c>
      <c r="C32" s="10" t="inlineStr">
        <is>
          <t>More / Same / Less</t>
        </is>
      </c>
      <c r="D32" s="10" t="inlineStr">
        <is>
          <t>Q11 column</t>
        </is>
      </c>
      <c r="E32" s="10" t="inlineStr">
        <is>
          <t>More</t>
        </is>
      </c>
    </row>
    <row r="33" ht="15" customHeight="1">
      <c r="A33" s="9" t="inlineStr">
        <is>
          <t>Q12</t>
        </is>
      </c>
      <c r="B33" s="10" t="inlineStr">
        <is>
          <t>Anything unclear or not fitting the rules?</t>
        </is>
      </c>
      <c r="C33" s="10" t="inlineStr">
        <is>
          <t>Short comment (optional)</t>
        </is>
      </c>
      <c r="D33" s="10" t="inlineStr">
        <is>
          <t>Q12 column</t>
        </is>
      </c>
      <c r="E33" s="10" t="inlineStr">
        <is>
          <t>—</t>
        </is>
      </c>
    </row>
    <row r="35">
      <c r="A35" s="3" t="inlineStr">
        <is>
          <t>Worked example — Accounts Clerk (illustrative text)</t>
        </is>
      </c>
    </row>
    <row r="36" ht="48" customHeight="1">
      <c r="B36" s="11" t="inlineStr">
        <is>
          <t>"Records financial transactions in ledgers and accounting software; prepares vouchers, invoices and bank reconciliation statements; maintains digital files of bills and receipts; corresponds with vendors by e-mail regarding payments; prints and files monthly summary reports."</t>
        </is>
      </c>
    </row>
    <row r="38">
      <c r="A38" s="3" t="inlineStr">
        <is>
          <t>Data source</t>
        </is>
      </c>
    </row>
    <row r="39" ht="45" customHeight="1">
      <c r="B39" s="7" t="inlineStr">
        <is>
          <t>Occupation titles and descriptions: National Classification of Occupations 2015, Vol II-A and II-B (Ministry of Labour &amp; Employment, DGE). Hierarchy titles and NCO-2004 concordance: NCO-2015 Vol I.</t>
        </is>
      </c>
    </row>
    <row r="40" ht="45" customHeight="1">
      <c r="B40" s="7" t="inlineStr">
        <is>
          <t>Machine-readable base table: "2015 NCO Draft Data Table" (gilesd-j.com blog, Nov 2025), checked against the official PDFs (median 100% word overlap); 2 duplicate rows removed, 3 missing and 4 cut-off descriptions restored from Vol II.</t>
        </is>
      </c>
    </row>
    <row r="41" ht="45" customHeight="1">
      <c r="B41" s="7" t="inlineStr">
        <is>
          <t>Reference columns: Group (3-digit) is the level used in PLFS since July 2021. NCO skill level is by division (Div 2 = 4, Div 3 = 3, Div 4–8 = 2, Div 9 = 1; Div 1 not defined). Division 0 (Armed Forces) has no occupation descriptions in Vol II and is not included.</t>
        </is>
      </c>
    </row>
  </sheetData>
  <mergeCells count="12">
    <mergeCell ref="B17:E17"/>
    <mergeCell ref="B18:E18"/>
    <mergeCell ref="B41:E41"/>
    <mergeCell ref="B40:E40"/>
    <mergeCell ref="B12:E12"/>
    <mergeCell ref="B13:E13"/>
    <mergeCell ref="B16:E16"/>
    <mergeCell ref="B15:E15"/>
    <mergeCell ref="B39:E39"/>
    <mergeCell ref="B11:E11"/>
    <mergeCell ref="B36:E36"/>
    <mergeCell ref="B14:E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202"/>
  <sheetViews>
    <sheetView zoomScale="90" workbookViewId="0">
      <pane xSplit="4" ySplit="2" topLeftCell="E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6" customWidth="1" min="3" max="3"/>
    <col width="82" customWidth="1" min="4" max="4"/>
    <col width="10" customWidth="1" min="5" max="5"/>
    <col width="11" customWidth="1" min="6" max="6"/>
    <col width="11" customWidth="1" min="7" max="7"/>
    <col width="11" customWidth="1" min="8" max="8"/>
    <col width="11" customWidth="1" min="9" max="9"/>
    <col width="11" customWidth="1" min="10" max="10"/>
    <col width="24" customWidth="1" min="11" max="11"/>
    <col width="24" customWidth="1" min="12" max="12"/>
    <col width="24" customWidth="1" min="13" max="13"/>
    <col width="24" customWidth="1" min="14" max="14"/>
    <col width="24" customWidth="1" min="15" max="15"/>
    <col width="9" customWidth="1" min="16" max="16"/>
    <col width="9" customWidth="1" min="17" max="17"/>
    <col width="9" customWidth="1" min="18" max="18"/>
    <col width="9" customWidth="1" min="19" max="19"/>
    <col width="9" customWidth="1" min="20" max="20"/>
    <col width="9" customWidth="1" min="21" max="21"/>
    <col width="13" customWidth="1" min="22" max="22"/>
    <col width="11" customWidth="1" min="23" max="23"/>
    <col width="28" customWidth="1" min="24" max="24"/>
    <col width="13" customWidth="1" min="25" max="25"/>
    <col width="9" customWidth="1" min="26" max="26"/>
    <col width="26" customWidth="1" min="27" max="27"/>
    <col width="9" customWidth="1" min="28" max="28"/>
    <col width="26" customWidth="1" min="29" max="29"/>
    <col width="8" customWidth="1" min="30" max="30"/>
    <col width="22" customWidth="1" min="31" max="31"/>
    <col width="8" customWidth="1" min="32" max="32"/>
    <col width="9" customWidth="1" min="33" max="33"/>
    <col width="11" customWidth="1" min="34" max="34"/>
    <col width="7" customWidth="1" min="35" max="35"/>
  </cols>
  <sheetData>
    <row r="1" ht="20" customHeight="1">
      <c r="A1" s="12" t="inlineStr">
        <is>
          <t>OCCUPATION (read only)</t>
        </is>
      </c>
      <c r="E1" s="13" t="inlineStr">
        <is>
          <t>Q1</t>
        </is>
      </c>
      <c r="F1" s="13" t="inlineStr">
        <is>
          <t>Q2–Q6  SCORES  (0–4)</t>
        </is>
      </c>
      <c r="K1" s="14" t="inlineStr">
        <is>
          <t>Q7  EVIDENCE — exact words from the description</t>
        </is>
      </c>
      <c r="P1" s="15" t="inlineStr">
        <is>
          <t>Q8  CONFIDENCE  (1–3)</t>
        </is>
      </c>
      <c r="U1" s="13" t="inlineStr">
        <is>
          <t>Q9–Q12</t>
        </is>
      </c>
      <c r="Y1" s="16" t="inlineStr">
        <is>
          <t>CHECK</t>
        </is>
      </c>
      <c r="Z1" s="17" t="inlineStr">
        <is>
          <t>REFERENCE (read only)</t>
        </is>
      </c>
    </row>
    <row r="2" ht="58" customHeight="1">
      <c r="A2" s="18" t="inlineStr">
        <is>
          <t>Row</t>
        </is>
      </c>
      <c r="B2" s="18" t="inlineStr">
        <is>
          <t>NCO-2015 code</t>
        </is>
      </c>
      <c r="C2" s="18" t="inlineStr">
        <is>
          <t>Occupation title</t>
        </is>
      </c>
      <c r="D2" s="18" t="inlineStr">
        <is>
          <t>Occupation description (NCO-2015 Vol II)</t>
        </is>
      </c>
      <c r="E2" s="19" t="inlineStr">
        <is>
          <t>Q1 Detail enough?</t>
        </is>
      </c>
      <c r="F2" s="19" t="inlineStr">
        <is>
          <t>Q2 Basic digital operation</t>
        </is>
      </c>
      <c r="G2" s="19" t="inlineStr">
        <is>
          <t>Q3 Digital information processing</t>
        </is>
      </c>
      <c r="H2" s="19" t="inlineStr">
        <is>
          <t>Q4 Digital communication &amp; collaboration</t>
        </is>
      </c>
      <c r="I2" s="19" t="inlineStr">
        <is>
          <t>Q5 Advanced / specialised digital tools</t>
        </is>
      </c>
      <c r="J2" s="19" t="inlineStr">
        <is>
          <t>Q6 Digital problem solving &amp; content creation</t>
        </is>
      </c>
      <c r="K2" s="20" t="inlineStr">
        <is>
          <t>Q7 evidence for Q2</t>
        </is>
      </c>
      <c r="L2" s="20" t="inlineStr">
        <is>
          <t>Q7 evidence for Q3</t>
        </is>
      </c>
      <c r="M2" s="20" t="inlineStr">
        <is>
          <t>Q7 evidence for Q4</t>
        </is>
      </c>
      <c r="N2" s="20" t="inlineStr">
        <is>
          <t>Q7 evidence for Q5</t>
        </is>
      </c>
      <c r="O2" s="20" t="inlineStr">
        <is>
          <t>Q7 evidence for Q6</t>
        </is>
      </c>
      <c r="P2" s="21" t="inlineStr">
        <is>
          <t>Q8 confidence Q2</t>
        </is>
      </c>
      <c r="Q2" s="21" t="inlineStr">
        <is>
          <t>Q8 confidence Q3</t>
        </is>
      </c>
      <c r="R2" s="21" t="inlineStr">
        <is>
          <t>Q8 confidence Q4</t>
        </is>
      </c>
      <c r="S2" s="21" t="inlineStr">
        <is>
          <t>Q8 confidence Q5</t>
        </is>
      </c>
      <c r="T2" s="21" t="inlineStr">
        <is>
          <t>Q8 confidence Q6</t>
        </is>
      </c>
      <c r="U2" s="19" t="inlineStr">
        <is>
          <t>Q9 Overall (0–10)</t>
        </is>
      </c>
      <c r="V2" s="19" t="inlineStr">
        <is>
          <t>Q10 Core / Supporting</t>
        </is>
      </c>
      <c r="W2" s="19" t="inlineStr">
        <is>
          <t>Q11 India today vs text</t>
        </is>
      </c>
      <c r="X2" s="19" t="inlineStr">
        <is>
          <t>Q12 Comment (optional)</t>
        </is>
      </c>
      <c r="Y2" s="22" t="inlineStr">
        <is>
          <t>Status</t>
        </is>
      </c>
      <c r="Z2" s="23" t="inlineStr">
        <is>
          <t>Family code (4-digit)</t>
        </is>
      </c>
      <c r="AA2" s="23" t="inlineStr">
        <is>
          <t>Family title</t>
        </is>
      </c>
      <c r="AB2" s="23" t="inlineStr">
        <is>
          <t>Group code (3-digit, PLFS level)</t>
        </is>
      </c>
      <c r="AC2" s="23" t="inlineStr">
        <is>
          <t>Group title</t>
        </is>
      </c>
      <c r="AD2" s="23" t="inlineStr">
        <is>
          <t>Division</t>
        </is>
      </c>
      <c r="AE2" s="23" t="inlineStr">
        <is>
          <t>Division title</t>
        </is>
      </c>
      <c r="AF2" s="23" t="inlineStr">
        <is>
          <t>NCO skill level</t>
        </is>
      </c>
      <c r="AG2" s="23" t="inlineStr">
        <is>
          <t>NCO-2004 code</t>
        </is>
      </c>
      <c r="AH2" s="23" t="inlineStr">
        <is>
          <t>QP/NOS reference</t>
        </is>
      </c>
      <c r="AI2" s="23" t="inlineStr">
        <is>
          <t>NSQF level</t>
        </is>
      </c>
    </row>
    <row r="3" ht="72" customHeight="1">
      <c r="A3" s="24" t="n">
        <v>1</v>
      </c>
      <c r="B3" s="24" t="inlineStr">
        <is>
          <t>1120.0400</t>
        </is>
      </c>
      <c r="C3" s="24" t="inlineStr">
        <is>
          <t>Director, Electricity</t>
        </is>
      </c>
      <c r="D3" s="25" t="inlineStr">
        <is>
          <t>Director, Electricity heads the organization and is supported by more than one manager. Determines, plans, organizes and controls in broad outline, within authority delegated, activities of private or public organizations or establishments or one or more of its branches, departments, etc. engaged in generation, transmission and distribution of electricity to domestic and industrial consumers. Is designated according to work performed or powers exercised.</t>
        </is>
      </c>
      <c r="E3" s="26" t="n"/>
      <c r="F3" s="26" t="n"/>
      <c r="G3" s="26" t="n"/>
      <c r="H3" s="26" t="n"/>
      <c r="I3" s="26" t="n"/>
      <c r="J3" s="26" t="n"/>
      <c r="K3" s="27" t="n"/>
      <c r="L3" s="27" t="n"/>
      <c r="M3" s="27" t="n"/>
      <c r="N3" s="27" t="n"/>
      <c r="O3" s="27" t="n"/>
      <c r="P3" s="26" t="n"/>
      <c r="Q3" s="26" t="n"/>
      <c r="R3" s="26" t="n"/>
      <c r="S3" s="26" t="n"/>
      <c r="T3" s="26" t="n"/>
      <c r="U3" s="26" t="n"/>
      <c r="V3" s="26" t="n"/>
      <c r="W3" s="26" t="n"/>
      <c r="X3" s="27" t="n"/>
      <c r="Y3" s="28">
        <f>IF(COUNTA(E3:J3,P3:W3)=0,"Not started",IF(COUNTA(E3:J3,P3:W3)&lt;14,"Incomplete",IF((AND(F3&lt;&gt;"",F3&amp;""&lt;&gt;"0",TRIM(K3)="")+AND(G3&lt;&gt;"",G3&amp;""&lt;&gt;"0",TRIM(L3)="")+AND(H3&lt;&gt;"",H3&amp;""&lt;&gt;"0",TRIM(M3)="")+AND(I3&lt;&gt;"",I3&amp;""&lt;&gt;"0",TRIM(N3)="")+AND(J3&lt;&gt;"",J3&amp;""&lt;&gt;"0",TRIM(O3)=""))&gt;0,"Add evidence","Complete")))</f>
        <v/>
      </c>
      <c r="Z3" s="24" t="inlineStr">
        <is>
          <t>1120</t>
        </is>
      </c>
      <c r="AA3" s="24" t="inlineStr">
        <is>
          <t>Managing Directors and Chief Executives</t>
        </is>
      </c>
      <c r="AB3" s="24" t="inlineStr">
        <is>
          <t>112</t>
        </is>
      </c>
      <c r="AC3" s="24" t="inlineStr">
        <is>
          <t>Managing Directors and Chief Executives</t>
        </is>
      </c>
      <c r="AD3" s="24" t="n">
        <v>1</v>
      </c>
      <c r="AE3" s="24" t="inlineStr">
        <is>
          <t>Managers</t>
        </is>
      </c>
      <c r="AF3" s="24" t="inlineStr">
        <is>
          <t>Not defined</t>
        </is>
      </c>
      <c r="AG3" s="24" t="inlineStr">
        <is>
          <t>1211.40</t>
        </is>
      </c>
      <c r="AH3" s="24" t="n"/>
      <c r="AI3" s="24" t="n"/>
    </row>
    <row r="4" ht="124.8" customHeight="1">
      <c r="A4" s="24" t="n">
        <v>2</v>
      </c>
      <c r="B4" s="24" t="inlineStr">
        <is>
          <t>1120.3600</t>
        </is>
      </c>
      <c r="C4" s="24" t="inlineStr">
        <is>
          <t>Director, Other Services</t>
        </is>
      </c>
      <c r="D4" s="25" t="inlineStr">
        <is>
          <t>Director, Other Services plans, organizes and controls, within authority delegated, activities of public or private organizations or establishments, or one or more of its departments or branches, engaged in running educational institutions; rendering medical sanitation and other health services. Organizing and providing religious services, promoting welfare of workers or community, giving charity assistance or aid to infirm or orphans. Organizing and managing trade and labour organizations and other civic and social associations, washing and cleaning garments etc., undertaking and cremating; and performing other services. Included are: DIRECTOR OF EDUCATIONAL INSTITUTIONS. DIRECTOR OF CHARITABLE INSTITUTIONS, DIRECTOR, ORPHANAGE DIRECTOR, Y.M.C.A, DIRECTOR, Y.W.C.A.</t>
        </is>
      </c>
      <c r="E4" s="26" t="n"/>
      <c r="F4" s="26" t="n"/>
      <c r="G4" s="26" t="n"/>
      <c r="H4" s="26" t="n"/>
      <c r="I4" s="26" t="n"/>
      <c r="J4" s="26" t="n"/>
      <c r="K4" s="27" t="n"/>
      <c r="L4" s="27" t="n"/>
      <c r="M4" s="27" t="n"/>
      <c r="N4" s="27" t="n"/>
      <c r="O4" s="27" t="n"/>
      <c r="P4" s="26" t="n"/>
      <c r="Q4" s="26" t="n"/>
      <c r="R4" s="26" t="n"/>
      <c r="S4" s="26" t="n"/>
      <c r="T4" s="26" t="n"/>
      <c r="U4" s="26" t="n"/>
      <c r="V4" s="26" t="n"/>
      <c r="W4" s="26" t="n"/>
      <c r="X4" s="27" t="n"/>
      <c r="Y4" s="28">
        <f>IF(COUNTA(E4:J4,P4:W4)=0,"Not started",IF(COUNTA(E4:J4,P4:W4)&lt;14,"Incomplete",IF((AND(F4&lt;&gt;"",F4&amp;""&lt;&gt;"0",TRIM(K4)="")+AND(G4&lt;&gt;"",G4&amp;""&lt;&gt;"0",TRIM(L4)="")+AND(H4&lt;&gt;"",H4&amp;""&lt;&gt;"0",TRIM(M4)="")+AND(I4&lt;&gt;"",I4&amp;""&lt;&gt;"0",TRIM(N4)="")+AND(J4&lt;&gt;"",J4&amp;""&lt;&gt;"0",TRIM(O4)=""))&gt;0,"Add evidence","Complete")))</f>
        <v/>
      </c>
      <c r="Z4" s="24" t="inlineStr">
        <is>
          <t>1120</t>
        </is>
      </c>
      <c r="AA4" s="24" t="inlineStr">
        <is>
          <t>Managing Directors and Chief Executives</t>
        </is>
      </c>
      <c r="AB4" s="24" t="inlineStr">
        <is>
          <t>112</t>
        </is>
      </c>
      <c r="AC4" s="24" t="inlineStr">
        <is>
          <t>Managing Directors and Chief Executives</t>
        </is>
      </c>
      <c r="AD4" s="24" t="n">
        <v>1</v>
      </c>
      <c r="AE4" s="24" t="inlineStr">
        <is>
          <t>Managers</t>
        </is>
      </c>
      <c r="AF4" s="24" t="inlineStr">
        <is>
          <t>Not defined</t>
        </is>
      </c>
      <c r="AG4" s="24" t="inlineStr">
        <is>
          <t>1219.20</t>
        </is>
      </c>
      <c r="AH4" s="24" t="n"/>
      <c r="AI4" s="24" t="n"/>
    </row>
    <row r="5" ht="45.59999999999999" customHeight="1">
      <c r="A5" s="24" t="n">
        <v>3</v>
      </c>
      <c r="B5" s="24" t="inlineStr">
        <is>
          <t>1213.0202</t>
        </is>
      </c>
      <c r="C5" s="24" t="inlineStr">
        <is>
          <t>Territory Service Manager</t>
        </is>
      </c>
      <c r="D5" s="25" t="inlineStr">
        <is>
          <t>Territory Service Manager is responsible for managing the service function in the assigned territory. The individual supervises service functions at the dealership network of the assigned territory and helps in increasing profitability.</t>
        </is>
      </c>
      <c r="E5" s="26" t="n"/>
      <c r="F5" s="26" t="n"/>
      <c r="G5" s="26" t="n"/>
      <c r="H5" s="26" t="n"/>
      <c r="I5" s="26" t="n"/>
      <c r="J5" s="26" t="n"/>
      <c r="K5" s="27" t="n"/>
      <c r="L5" s="27" t="n"/>
      <c r="M5" s="27" t="n"/>
      <c r="N5" s="27" t="n"/>
      <c r="O5" s="27" t="n"/>
      <c r="P5" s="26" t="n"/>
      <c r="Q5" s="26" t="n"/>
      <c r="R5" s="26" t="n"/>
      <c r="S5" s="26" t="n"/>
      <c r="T5" s="26" t="n"/>
      <c r="U5" s="26" t="n"/>
      <c r="V5" s="26" t="n"/>
      <c r="W5" s="26" t="n"/>
      <c r="X5" s="27" t="n"/>
      <c r="Y5" s="28">
        <f>IF(COUNTA(E5:J5,P5:W5)=0,"Not started",IF(COUNTA(E5:J5,P5:W5)&lt;14,"Incomplete",IF((AND(F5&lt;&gt;"",F5&amp;""&lt;&gt;"0",TRIM(K5)="")+AND(G5&lt;&gt;"",G5&amp;""&lt;&gt;"0",TRIM(L5)="")+AND(H5&lt;&gt;"",H5&amp;""&lt;&gt;"0",TRIM(M5)="")+AND(I5&lt;&gt;"",I5&amp;""&lt;&gt;"0",TRIM(N5)="")+AND(J5&lt;&gt;"",J5&amp;""&lt;&gt;"0",TRIM(O5)=""))&gt;0,"Add evidence","Complete")))</f>
        <v/>
      </c>
      <c r="Z5" s="24" t="inlineStr">
        <is>
          <t>1213</t>
        </is>
      </c>
      <c r="AA5" s="24" t="inlineStr">
        <is>
          <t>Policy and Planning Managers</t>
        </is>
      </c>
      <c r="AB5" s="24" t="inlineStr">
        <is>
          <t>121</t>
        </is>
      </c>
      <c r="AC5" s="24" t="inlineStr">
        <is>
          <t>Business Services and Administration Managers</t>
        </is>
      </c>
      <c r="AD5" s="24" t="n">
        <v>1</v>
      </c>
      <c r="AE5" s="24" t="inlineStr">
        <is>
          <t>Managers</t>
        </is>
      </c>
      <c r="AF5" s="24" t="inlineStr">
        <is>
          <t>Not defined</t>
        </is>
      </c>
      <c r="AG5" s="24" t="n"/>
      <c r="AH5" s="24" t="inlineStr">
        <is>
          <t>ASC/Q0602</t>
        </is>
      </c>
      <c r="AI5" s="24" t="n"/>
    </row>
    <row r="6" ht="124.8" customHeight="1">
      <c r="A6" s="24" t="n">
        <v>4</v>
      </c>
      <c r="B6" s="24" t="inlineStr">
        <is>
          <t>1311.0500</t>
        </is>
      </c>
      <c r="C6" s="24" t="inlineStr">
        <is>
          <t>General Manager, Dairy Farm</t>
        </is>
      </c>
      <c r="D6" s="25" t="inlineStr">
        <is>
          <t>General Manager, Dairy Farm manages dairy farm on behalf of employer for production of milk, butter, ghee, etc. Supervises selection and purchase of animals, in consultation with employer. Makes proper arrangements for housing, feeding and treatment of milking animals. Pairs animals for breeding on basis of pedigree. Arranges artificial insemination for developing good breed. Takes proper care of animals during birth of young and takes necessary precautions during upbringing of young animals. Ensures that hygienic methods are used in cleaning udder of animals, washing of hands of Milkman, milk containers, etc. before milking. Supervises milking, preparation of butter, ghee, etc. and arranges their transportation and marketing. Selects and sells unprofitable animals. Controls office and field staff and co-ordinates their work.</t>
        </is>
      </c>
      <c r="E6" s="26" t="n"/>
      <c r="F6" s="26" t="n"/>
      <c r="G6" s="26" t="n"/>
      <c r="H6" s="26" t="n"/>
      <c r="I6" s="26" t="n"/>
      <c r="J6" s="26" t="n"/>
      <c r="K6" s="27" t="n"/>
      <c r="L6" s="27" t="n"/>
      <c r="M6" s="27" t="n"/>
      <c r="N6" s="27" t="n"/>
      <c r="O6" s="27" t="n"/>
      <c r="P6" s="26" t="n"/>
      <c r="Q6" s="26" t="n"/>
      <c r="R6" s="26" t="n"/>
      <c r="S6" s="26" t="n"/>
      <c r="T6" s="26" t="n"/>
      <c r="U6" s="26" t="n"/>
      <c r="V6" s="26" t="n"/>
      <c r="W6" s="26" t="n"/>
      <c r="X6" s="27" t="n"/>
      <c r="Y6" s="28">
        <f>IF(COUNTA(E6:J6,P6:W6)=0,"Not started",IF(COUNTA(E6:J6,P6:W6)&lt;14,"Incomplete",IF((AND(F6&lt;&gt;"",F6&amp;""&lt;&gt;"0",TRIM(K6)="")+AND(G6&lt;&gt;"",G6&amp;""&lt;&gt;"0",TRIM(L6)="")+AND(H6&lt;&gt;"",H6&amp;""&lt;&gt;"0",TRIM(M6)="")+AND(I6&lt;&gt;"",I6&amp;""&lt;&gt;"0",TRIM(N6)="")+AND(J6&lt;&gt;"",J6&amp;""&lt;&gt;"0",TRIM(O6)=""))&gt;0,"Add evidence","Complete")))</f>
        <v/>
      </c>
      <c r="Z6" s="24" t="inlineStr">
        <is>
          <t>1311</t>
        </is>
      </c>
      <c r="AA6" s="24" t="inlineStr">
        <is>
          <t>Agricultural and Forestry Production Managers</t>
        </is>
      </c>
      <c r="AB6" s="24" t="inlineStr">
        <is>
          <t>131</t>
        </is>
      </c>
      <c r="AC6" s="24" t="inlineStr">
        <is>
          <t>Production Managers in Agriculture, Forestry and Fisheries</t>
        </is>
      </c>
      <c r="AD6" s="24" t="n">
        <v>1</v>
      </c>
      <c r="AE6" s="24" t="inlineStr">
        <is>
          <t>Managers</t>
        </is>
      </c>
      <c r="AF6" s="24" t="inlineStr">
        <is>
          <t>Not defined</t>
        </is>
      </c>
      <c r="AG6" s="24" t="inlineStr">
        <is>
          <t>1301.50</t>
        </is>
      </c>
      <c r="AH6" s="24" t="n"/>
      <c r="AI6" s="24" t="n"/>
    </row>
    <row r="7" ht="98.39999999999999" customHeight="1">
      <c r="A7" s="24" t="n">
        <v>5</v>
      </c>
      <c r="B7" s="24" t="inlineStr">
        <is>
          <t>1321.0200</t>
        </is>
      </c>
      <c r="C7" s="24" t="inlineStr">
        <is>
          <t>Terminal Manager</t>
        </is>
      </c>
      <c r="D7" s="25" t="inlineStr">
        <is>
          <t>Terminal Manager/Terminal Superintendent manages plants in which Liquefied Petroleum Gas, lubricants, and petroleum fuels are stored and distributed in bulk. Formulates policies with regard to storage, distribution and other operating problems. Determines type and quantities of products according to consumer demand. Contacts refineries and petroleum canning plants to schedule shipment of products. Establishes operating procedures for incoming shipments, indicating storage tanks and warehouse facilities to be used. Formulates policies for distribution and sale of products to wholesale and retail outlets and consumers.</t>
        </is>
      </c>
      <c r="E7" s="26" t="n"/>
      <c r="F7" s="26" t="n"/>
      <c r="G7" s="26" t="n"/>
      <c r="H7" s="26" t="n"/>
      <c r="I7" s="26" t="n"/>
      <c r="J7" s="26" t="n"/>
      <c r="K7" s="27" t="n"/>
      <c r="L7" s="27" t="n"/>
      <c r="M7" s="27" t="n"/>
      <c r="N7" s="27" t="n"/>
      <c r="O7" s="27" t="n"/>
      <c r="P7" s="26" t="n"/>
      <c r="Q7" s="26" t="n"/>
      <c r="R7" s="26" t="n"/>
      <c r="S7" s="26" t="n"/>
      <c r="T7" s="26" t="n"/>
      <c r="U7" s="26" t="n"/>
      <c r="V7" s="26" t="n"/>
      <c r="W7" s="26" t="n"/>
      <c r="X7" s="27" t="n"/>
      <c r="Y7" s="28">
        <f>IF(COUNTA(E7:J7,P7:W7)=0,"Not started",IF(COUNTA(E7:J7,P7:W7)&lt;14,"Incomplete",IF((AND(F7&lt;&gt;"",F7&amp;""&lt;&gt;"0",TRIM(K7)="")+AND(G7&lt;&gt;"",G7&amp;""&lt;&gt;"0",TRIM(L7)="")+AND(H7&lt;&gt;"",H7&amp;""&lt;&gt;"0",TRIM(M7)="")+AND(I7&lt;&gt;"",I7&amp;""&lt;&gt;"0",TRIM(N7)="")+AND(J7&lt;&gt;"",J7&amp;""&lt;&gt;"0",TRIM(O7)=""))&gt;0,"Add evidence","Complete")))</f>
        <v/>
      </c>
      <c r="Z7" s="24" t="inlineStr">
        <is>
          <t>1321</t>
        </is>
      </c>
      <c r="AA7" s="24" t="inlineStr">
        <is>
          <t>Manufacturing Managers</t>
        </is>
      </c>
      <c r="AB7" s="24" t="inlineStr">
        <is>
          <t>132</t>
        </is>
      </c>
      <c r="AC7" s="24" t="inlineStr">
        <is>
          <t>Manufacturing, Mining, Construction and Distribution Managers</t>
        </is>
      </c>
      <c r="AD7" s="24" t="n">
        <v>1</v>
      </c>
      <c r="AE7" s="24" t="inlineStr">
        <is>
          <t>Managers</t>
        </is>
      </c>
      <c r="AF7" s="24" t="inlineStr">
        <is>
          <t>Not defined</t>
        </is>
      </c>
      <c r="AG7" s="24" t="inlineStr">
        <is>
          <t>1222.45</t>
        </is>
      </c>
      <c r="AH7" s="24" t="n"/>
      <c r="AI7" s="24" t="n"/>
    </row>
    <row r="8" ht="111.6" customHeight="1">
      <c r="A8" s="24" t="n">
        <v>6</v>
      </c>
      <c r="B8" s="24" t="inlineStr">
        <is>
          <t>1321.0600</t>
        </is>
      </c>
      <c r="C8" s="24" t="inlineStr">
        <is>
          <t>Manager, Manufacturing</t>
        </is>
      </c>
      <c r="D8" s="25" t="inlineStr">
        <is>
          <t>Manager, Manufacturing organizes, co-ordinates and supervises, within powers delegated, efficient utilisation of men, money and material in public or private organizations or establishment, or one or more of its departments or branches, engaged in producing, maintaining or repairing capital or consumer goods, excluding crops, minerals electricity and natural gas. Is designated according to work performed or powers exercised such as: MANAGER(MANUFACTURING). FACTORY MANAGER. PLANT MANAGER. FACTORY SUPERINTENDENT, WORKS SUPERINTENDENT. MANAGER, TEXTILE MILLS, MANAGER, TANNERY, MANAGER, SHOE FACTORY, MANAGER, BAKERY, MANAGER, PRESS, MANAGER, STEEL PLANT, MANAGER, GLASS FACTORY.</t>
        </is>
      </c>
      <c r="E8" s="26" t="n"/>
      <c r="F8" s="26" t="n"/>
      <c r="G8" s="26" t="n"/>
      <c r="H8" s="26" t="n"/>
      <c r="I8" s="26" t="n"/>
      <c r="J8" s="26" t="n"/>
      <c r="K8" s="27" t="n"/>
      <c r="L8" s="27" t="n"/>
      <c r="M8" s="27" t="n"/>
      <c r="N8" s="27" t="n"/>
      <c r="O8" s="27" t="n"/>
      <c r="P8" s="26" t="n"/>
      <c r="Q8" s="26" t="n"/>
      <c r="R8" s="26" t="n"/>
      <c r="S8" s="26" t="n"/>
      <c r="T8" s="26" t="n"/>
      <c r="U8" s="26" t="n"/>
      <c r="V8" s="26" t="n"/>
      <c r="W8" s="26" t="n"/>
      <c r="X8" s="27" t="n"/>
      <c r="Y8" s="28">
        <f>IF(COUNTA(E8:J8,P8:W8)=0,"Not started",IF(COUNTA(E8:J8,P8:W8)&lt;14,"Incomplete",IF((AND(F8&lt;&gt;"",F8&amp;""&lt;&gt;"0",TRIM(K8)="")+AND(G8&lt;&gt;"",G8&amp;""&lt;&gt;"0",TRIM(L8)="")+AND(H8&lt;&gt;"",H8&amp;""&lt;&gt;"0",TRIM(M8)="")+AND(I8&lt;&gt;"",I8&amp;""&lt;&gt;"0",TRIM(N8)="")+AND(J8&lt;&gt;"",J8&amp;""&lt;&gt;"0",TRIM(O8)=""))&gt;0,"Add evidence","Complete")))</f>
        <v/>
      </c>
      <c r="Z8" s="24" t="inlineStr">
        <is>
          <t>1321</t>
        </is>
      </c>
      <c r="AA8" s="24" t="inlineStr">
        <is>
          <t>Manufacturing Managers</t>
        </is>
      </c>
      <c r="AB8" s="24" t="inlineStr">
        <is>
          <t>132</t>
        </is>
      </c>
      <c r="AC8" s="24" t="inlineStr">
        <is>
          <t>Manufacturing, Mining, Construction and Distribution Managers</t>
        </is>
      </c>
      <c r="AD8" s="24" t="n">
        <v>1</v>
      </c>
      <c r="AE8" s="24" t="inlineStr">
        <is>
          <t>Managers</t>
        </is>
      </c>
      <c r="AF8" s="24" t="inlineStr">
        <is>
          <t>Not defined</t>
        </is>
      </c>
      <c r="AG8" s="24" t="inlineStr">
        <is>
          <t>1222.70</t>
        </is>
      </c>
      <c r="AH8" s="24" t="n"/>
      <c r="AI8" s="24" t="n"/>
    </row>
    <row r="9" ht="32.4" customHeight="1">
      <c r="A9" s="24" t="n">
        <v>7</v>
      </c>
      <c r="B9" s="24" t="inlineStr">
        <is>
          <t>1321.9900</t>
        </is>
      </c>
      <c r="C9" s="24" t="inlineStr">
        <is>
          <t>Manufacturing Managers, Other</t>
        </is>
      </c>
      <c r="D9" s="25" t="inlineStr">
        <is>
          <t>Manufacturing Managers, Other includes all other General Managers engaged in manufacturing and other related activities, not elsewhere classified.</t>
        </is>
      </c>
      <c r="E9" s="26" t="n"/>
      <c r="F9" s="26" t="n"/>
      <c r="G9" s="26" t="n"/>
      <c r="H9" s="26" t="n"/>
      <c r="I9" s="26" t="n"/>
      <c r="J9" s="26" t="n"/>
      <c r="K9" s="27" t="n"/>
      <c r="L9" s="27" t="n"/>
      <c r="M9" s="27" t="n"/>
      <c r="N9" s="27" t="n"/>
      <c r="O9" s="27" t="n"/>
      <c r="P9" s="26" t="n"/>
      <c r="Q9" s="26" t="n"/>
      <c r="R9" s="26" t="n"/>
      <c r="S9" s="26" t="n"/>
      <c r="T9" s="26" t="n"/>
      <c r="U9" s="26" t="n"/>
      <c r="V9" s="26" t="n"/>
      <c r="W9" s="26" t="n"/>
      <c r="X9" s="27" t="n"/>
      <c r="Y9" s="28">
        <f>IF(COUNTA(E9:J9,P9:W9)=0,"Not started",IF(COUNTA(E9:J9,P9:W9)&lt;14,"Incomplete",IF((AND(F9&lt;&gt;"",F9&amp;""&lt;&gt;"0",TRIM(K9)="")+AND(G9&lt;&gt;"",G9&amp;""&lt;&gt;"0",TRIM(L9)="")+AND(H9&lt;&gt;"",H9&amp;""&lt;&gt;"0",TRIM(M9)="")+AND(I9&lt;&gt;"",I9&amp;""&lt;&gt;"0",TRIM(N9)="")+AND(J9&lt;&gt;"",J9&amp;""&lt;&gt;"0",TRIM(O9)=""))&gt;0,"Add evidence","Complete")))</f>
        <v/>
      </c>
      <c r="Z9" s="24" t="inlineStr">
        <is>
          <t>1321</t>
        </is>
      </c>
      <c r="AA9" s="24" t="inlineStr">
        <is>
          <t>Manufacturing Managers</t>
        </is>
      </c>
      <c r="AB9" s="24" t="inlineStr">
        <is>
          <t>132</t>
        </is>
      </c>
      <c r="AC9" s="24" t="inlineStr">
        <is>
          <t>Manufacturing, Mining, Construction and Distribution Managers</t>
        </is>
      </c>
      <c r="AD9" s="24" t="n">
        <v>1</v>
      </c>
      <c r="AE9" s="24" t="inlineStr">
        <is>
          <t>Managers</t>
        </is>
      </c>
      <c r="AF9" s="24" t="inlineStr">
        <is>
          <t>Not defined</t>
        </is>
      </c>
      <c r="AG9" s="24" t="inlineStr">
        <is>
          <t>1302.90</t>
        </is>
      </c>
      <c r="AH9" s="24" t="n"/>
      <c r="AI9" s="24" t="n"/>
    </row>
    <row r="10" ht="190.8" customHeight="1">
      <c r="A10" s="24" t="n">
        <v>8</v>
      </c>
      <c r="B10" s="24" t="inlineStr">
        <is>
          <t>1324.0800</t>
        </is>
      </c>
      <c r="C10" s="24" t="inlineStr">
        <is>
          <t>Manager, Flight Operation</t>
        </is>
      </c>
      <c r="D10" s="25" t="inlineStr">
        <is>
          <t>Manager, Flight Operation directs and co-ordinates through subordinate management personnel, flight operations and control activities of the air transport company’s’ terminal station: Reviews flight schedules, flight crew bid sheet for route, and crew schedules to ensure that assignments for schedules and routes are in accordance with personnel qualifications for type of aircraft, federal safety and operational regulations, union contract provisions, and company policies. Confers with flight crew personnel to resolve any differences regarding schedule and route assignments. Co-ordinates activities of sections in flight operations department, such as dispatching, flight control, flight training and meteorology, to ensure maximum operating efficiency. Confers with administrative personnel, government regulatory agencies, and representatives of other airlines to propose revision and adoption of rules and procedures governing flight operation activities. Directs preparation of supplemental training materials or revision of operational manuals resulting from changes in rules and procedures. Conducts investigations in co-operation with federal agencies to determine causes of aircraft accidents and to establish accident prevention and emergency methods and procedures. May check flight crew personnel on aircraft.</t>
        </is>
      </c>
      <c r="E10" s="26" t="n"/>
      <c r="F10" s="26" t="n"/>
      <c r="G10" s="26" t="n"/>
      <c r="H10" s="26" t="n"/>
      <c r="I10" s="26" t="n"/>
      <c r="J10" s="26" t="n"/>
      <c r="K10" s="27" t="n"/>
      <c r="L10" s="27" t="n"/>
      <c r="M10" s="27" t="n"/>
      <c r="N10" s="27" t="n"/>
      <c r="O10" s="27" t="n"/>
      <c r="P10" s="26" t="n"/>
      <c r="Q10" s="26" t="n"/>
      <c r="R10" s="26" t="n"/>
      <c r="S10" s="26" t="n"/>
      <c r="T10" s="26" t="n"/>
      <c r="U10" s="26" t="n"/>
      <c r="V10" s="26" t="n"/>
      <c r="W10" s="26" t="n"/>
      <c r="X10" s="27" t="n"/>
      <c r="Y10" s="28">
        <f>IF(COUNTA(E10:J10,P10:W10)=0,"Not started",IF(COUNTA(E10:J10,P10:W10)&lt;14,"Incomplete",IF((AND(F10&lt;&gt;"",F10&amp;""&lt;&gt;"0",TRIM(K10)="")+AND(G10&lt;&gt;"",G10&amp;""&lt;&gt;"0",TRIM(L10)="")+AND(H10&lt;&gt;"",H10&amp;""&lt;&gt;"0",TRIM(M10)="")+AND(I10&lt;&gt;"",I10&amp;""&lt;&gt;"0",TRIM(N10)="")+AND(J10&lt;&gt;"",J10&amp;""&lt;&gt;"0",TRIM(O10)=""))&gt;0,"Add evidence","Complete")))</f>
        <v/>
      </c>
      <c r="Z10" s="24" t="inlineStr">
        <is>
          <t>1324</t>
        </is>
      </c>
      <c r="AA10" s="24" t="inlineStr">
        <is>
          <t>Supply, Distribution and Related Managers</t>
        </is>
      </c>
      <c r="AB10" s="24" t="inlineStr">
        <is>
          <t>132</t>
        </is>
      </c>
      <c r="AC10" s="24" t="inlineStr">
        <is>
          <t>Manufacturing, Mining, Construction and Distribution Managers</t>
        </is>
      </c>
      <c r="AD10" s="24" t="n">
        <v>1</v>
      </c>
      <c r="AE10" s="24" t="inlineStr">
        <is>
          <t>Managers</t>
        </is>
      </c>
      <c r="AF10" s="24" t="inlineStr">
        <is>
          <t>Not defined</t>
        </is>
      </c>
      <c r="AG10" s="24" t="inlineStr">
        <is>
          <t>1226.30</t>
        </is>
      </c>
      <c r="AH10" s="24" t="n"/>
      <c r="AI10" s="24" t="n"/>
    </row>
    <row r="11" ht="151.2" customHeight="1">
      <c r="A11" s="24" t="n">
        <v>9</v>
      </c>
      <c r="B11" s="24" t="inlineStr">
        <is>
          <t>1412.0100</t>
        </is>
      </c>
      <c r="C11" s="24" t="inlineStr">
        <is>
          <t>Manager, Fast Food Service</t>
        </is>
      </c>
      <c r="D11" s="25" t="inlineStr">
        <is>
          <t>Manager, Fast Food Service manages franchised or independent fast food or wholesale prepared food establishments. Directs, co-ordinates, and participates in preparation of and cooking, wrapping or packing types of food served or prepared by establishments, collects money from in-house or take-out customers or assembles food orders for wholesale customers. Co-ordinates activities of workers engaged in keeping business records, collecting and paying accounts, ordering or purchasing supplies, and delivery of foodstuff to wholesale or retail customers. Interviews, hires, and trains personnel. May contact prospective wholesale customers, such as mobile food vendors, Vending Machine Operators, bar and tavern owners, and institutional personnel, to promote sale of prepared food. May establish delivery routes and schedules for supplying wholesale customers. Workers may be known according to the type or name of franchised establishment or type of prepared foodstuff retailed or wholesaled</t>
        </is>
      </c>
      <c r="E11" s="26" t="n"/>
      <c r="F11" s="26" t="n"/>
      <c r="G11" s="26" t="n"/>
      <c r="H11" s="26" t="n"/>
      <c r="I11" s="26" t="n"/>
      <c r="J11" s="26" t="n"/>
      <c r="K11" s="27" t="n"/>
      <c r="L11" s="27" t="n"/>
      <c r="M11" s="27" t="n"/>
      <c r="N11" s="27" t="n"/>
      <c r="O11" s="27" t="n"/>
      <c r="P11" s="26" t="n"/>
      <c r="Q11" s="26" t="n"/>
      <c r="R11" s="26" t="n"/>
      <c r="S11" s="26" t="n"/>
      <c r="T11" s="26" t="n"/>
      <c r="U11" s="26" t="n"/>
      <c r="V11" s="26" t="n"/>
      <c r="W11" s="26" t="n"/>
      <c r="X11" s="27" t="n"/>
      <c r="Y11" s="28">
        <f>IF(COUNTA(E11:J11,P11:W11)=0,"Not started",IF(COUNTA(E11:J11,P11:W11)&lt;14,"Incomplete",IF((AND(F11&lt;&gt;"",F11&amp;""&lt;&gt;"0",TRIM(K11)="")+AND(G11&lt;&gt;"",G11&amp;""&lt;&gt;"0",TRIM(L11)="")+AND(H11&lt;&gt;"",H11&amp;""&lt;&gt;"0",TRIM(M11)="")+AND(I11&lt;&gt;"",I11&amp;""&lt;&gt;"0",TRIM(N11)="")+AND(J11&lt;&gt;"",J11&amp;""&lt;&gt;"0",TRIM(O11)=""))&gt;0,"Add evidence","Complete")))</f>
        <v/>
      </c>
      <c r="Z11" s="24" t="inlineStr">
        <is>
          <t>1412</t>
        </is>
      </c>
      <c r="AA11" s="24" t="inlineStr">
        <is>
          <t>Restaurant Managers</t>
        </is>
      </c>
      <c r="AB11" s="24" t="inlineStr">
        <is>
          <t>141</t>
        </is>
      </c>
      <c r="AC11" s="24" t="inlineStr">
        <is>
          <t>Hotel and Restaurant Managers</t>
        </is>
      </c>
      <c r="AD11" s="24" t="n">
        <v>1</v>
      </c>
      <c r="AE11" s="24" t="inlineStr">
        <is>
          <t>Managers</t>
        </is>
      </c>
      <c r="AF11" s="24" t="inlineStr">
        <is>
          <t>Not defined</t>
        </is>
      </c>
      <c r="AG11" s="24" t="inlineStr">
        <is>
          <t>1225.20</t>
        </is>
      </c>
      <c r="AH11" s="24" t="n"/>
      <c r="AI11" s="24" t="n"/>
    </row>
    <row r="12" ht="230.4" customHeight="1">
      <c r="A12" s="24" t="n">
        <v>10</v>
      </c>
      <c r="B12" s="24" t="inlineStr">
        <is>
          <t>2120.0500</t>
        </is>
      </c>
      <c r="C12" s="24" t="inlineStr">
        <is>
          <t>Operation Research Analyst</t>
        </is>
      </c>
      <c r="D12" s="25" t="inlineStr">
        <is>
          <t>Operation Research Analyst formulates and applies mathematical modelling and other optimizing methods using a computer to develop and interpret information that assists management with decision making, policy formulation, or other managerial functions. May develop related software, service, or products. Frequently concentrates on collecting and analysing data and developing decision support software. May develop and supply optimal time, cost, or logistics networks for programme evaluation, review, or implementation. Analyses a problem in terms of management information and conceptualizes and defines the problem. Prepares model of the problem in the form of one or several equations that relates constants and variables, restrictions, alternatives, conflicting objectives and their numerical parameters. Specifies manipulative or computational methods to be applied to a model. Evaluates implementation and effectiveness of research. Develops and applies time and cost networks to plan and control large projects. Prepares for management reports defining problem, evaluation, and possible solution. Studies information and selects plan from competitive proposals that afford maximum probability of profit or effectiveness relating to cost or risk. Defines data requirements, gathers and validates information, applying judgment and statistical tests. Designs, conducts, and evaluates experimental operational models where insufficient data exists to formulate a model. Performs validation and testing of the model to ensure adequacy, or determines need for reformulation.</t>
        </is>
      </c>
      <c r="E12" s="26" t="n"/>
      <c r="F12" s="26" t="n"/>
      <c r="G12" s="26" t="n"/>
      <c r="H12" s="26" t="n"/>
      <c r="I12" s="26" t="n"/>
      <c r="J12" s="26" t="n"/>
      <c r="K12" s="27" t="n"/>
      <c r="L12" s="27" t="n"/>
      <c r="M12" s="27" t="n"/>
      <c r="N12" s="27" t="n"/>
      <c r="O12" s="27" t="n"/>
      <c r="P12" s="26" t="n"/>
      <c r="Q12" s="26" t="n"/>
      <c r="R12" s="26" t="n"/>
      <c r="S12" s="26" t="n"/>
      <c r="T12" s="26" t="n"/>
      <c r="U12" s="26" t="n"/>
      <c r="V12" s="26" t="n"/>
      <c r="W12" s="26" t="n"/>
      <c r="X12" s="27" t="n"/>
      <c r="Y12" s="28">
        <f>IF(COUNTA(E12:J12,P12:W12)=0,"Not started",IF(COUNTA(E12:J12,P12:W12)&lt;14,"Incomplete",IF((AND(F12&lt;&gt;"",F12&amp;""&lt;&gt;"0",TRIM(K12)="")+AND(G12&lt;&gt;"",G12&amp;""&lt;&gt;"0",TRIM(L12)="")+AND(H12&lt;&gt;"",H12&amp;""&lt;&gt;"0",TRIM(M12)="")+AND(I12&lt;&gt;"",I12&amp;""&lt;&gt;"0",TRIM(N12)="")+AND(J12&lt;&gt;"",J12&amp;""&lt;&gt;"0",TRIM(O12)=""))&gt;0,"Add evidence","Complete")))</f>
        <v/>
      </c>
      <c r="Z12" s="24" t="inlineStr">
        <is>
          <t>2120</t>
        </is>
      </c>
      <c r="AA12" s="24" t="inlineStr">
        <is>
          <t>Mathematicians, Actuaries and Statisticians</t>
        </is>
      </c>
      <c r="AB12" s="24" t="inlineStr">
        <is>
          <t>212</t>
        </is>
      </c>
      <c r="AC12" s="24" t="inlineStr">
        <is>
          <t>Mathematicians, Actuaries and Statisticians</t>
        </is>
      </c>
      <c r="AD12" s="24" t="n">
        <v>2</v>
      </c>
      <c r="AE12" s="24" t="inlineStr">
        <is>
          <t>Professionals</t>
        </is>
      </c>
      <c r="AF12" s="24" t="inlineStr">
        <is>
          <t>4</t>
        </is>
      </c>
      <c r="AG12" s="24" t="inlineStr">
        <is>
          <t>2122.30</t>
        </is>
      </c>
      <c r="AH12" s="24" t="n"/>
      <c r="AI12" s="24" t="n"/>
    </row>
    <row r="13" ht="98.39999999999999" customHeight="1">
      <c r="A13" s="24" t="n">
        <v>11</v>
      </c>
      <c r="B13" s="24" t="inlineStr">
        <is>
          <t>2131.0500</t>
        </is>
      </c>
      <c r="C13" s="24" t="inlineStr">
        <is>
          <t>Economic Botanist</t>
        </is>
      </c>
      <c r="D13" s="25" t="inlineStr">
        <is>
          <t>Economic Botanist specializes in study of plants yielding food, fibre, medicines, essential oil, resin, gum, dyes etc., for economic and industrial purposes and determines conditions necessary for their growth, development and utilization. Collects various types of plants of economic value and grows them under controlled conditions to determine best climatic soil and other essentials. Selects, tests and cross fertilizes (breeds) plants to obtain optimum qualities and quantities of plants for use as food, drugs, fibre, and other economic purposes. May specialize in such fields as oil bearing trees, resins, food, condiment, forage crops etc.</t>
        </is>
      </c>
      <c r="E13" s="26" t="n"/>
      <c r="F13" s="26" t="n"/>
      <c r="G13" s="26" t="n"/>
      <c r="H13" s="26" t="n"/>
      <c r="I13" s="26" t="n"/>
      <c r="J13" s="26" t="n"/>
      <c r="K13" s="27" t="n"/>
      <c r="L13" s="27" t="n"/>
      <c r="M13" s="27" t="n"/>
      <c r="N13" s="27" t="n"/>
      <c r="O13" s="27" t="n"/>
      <c r="P13" s="26" t="n"/>
      <c r="Q13" s="26" t="n"/>
      <c r="R13" s="26" t="n"/>
      <c r="S13" s="26" t="n"/>
      <c r="T13" s="26" t="n"/>
      <c r="U13" s="26" t="n"/>
      <c r="V13" s="26" t="n"/>
      <c r="W13" s="26" t="n"/>
      <c r="X13" s="27" t="n"/>
      <c r="Y13" s="28">
        <f>IF(COUNTA(E13:J13,P13:W13)=0,"Not started",IF(COUNTA(E13:J13,P13:W13)&lt;14,"Incomplete",IF((AND(F13&lt;&gt;"",F13&amp;""&lt;&gt;"0",TRIM(K13)="")+AND(G13&lt;&gt;"",G13&amp;""&lt;&gt;"0",TRIM(L13)="")+AND(H13&lt;&gt;"",H13&amp;""&lt;&gt;"0",TRIM(M13)="")+AND(I13&lt;&gt;"",I13&amp;""&lt;&gt;"0",TRIM(N13)="")+AND(J13&lt;&gt;"",J13&amp;""&lt;&gt;"0",TRIM(O13)=""))&gt;0,"Add evidence","Complete")))</f>
        <v/>
      </c>
      <c r="Z13" s="24" t="inlineStr">
        <is>
          <t>2131</t>
        </is>
      </c>
      <c r="AA13" s="24" t="inlineStr">
        <is>
          <t>Biologists, Botanists, Zoologists and Related Professionals</t>
        </is>
      </c>
      <c r="AB13" s="24" t="inlineStr">
        <is>
          <t>213</t>
        </is>
      </c>
      <c r="AC13" s="24" t="inlineStr">
        <is>
          <t>Life Sciences Professionals</t>
        </is>
      </c>
      <c r="AD13" s="24" t="n">
        <v>2</v>
      </c>
      <c r="AE13" s="24" t="inlineStr">
        <is>
          <t>Professionals</t>
        </is>
      </c>
      <c r="AF13" s="24" t="inlineStr">
        <is>
          <t>4</t>
        </is>
      </c>
      <c r="AG13" s="24" t="inlineStr">
        <is>
          <t>2211.37</t>
        </is>
      </c>
      <c r="AH13" s="24" t="n"/>
      <c r="AI13" s="24" t="n"/>
    </row>
    <row r="14" ht="138" customHeight="1">
      <c r="A14" s="24" t="n">
        <v>12</v>
      </c>
      <c r="B14" s="24" t="inlineStr">
        <is>
          <t>2142.0800</t>
        </is>
      </c>
      <c r="C14" s="24" t="inlineStr">
        <is>
          <t>Airport Engineer</t>
        </is>
      </c>
      <c r="D14" s="25" t="inlineStr">
        <is>
          <t>Airport Engineer plans and lays out airports and landing fields and directs construction work involved in levelling fields, laying out and surfacing runways, and providing drainage. Designs runways based on weight and size of aircraft and prepares material and construction specifications. Directs or participates in surveying to lay out installations and establish reference points, grades, and elevations to guide construction. Estimates costs to provide basis for payments to contractor. Observes progress of construction to ensure work is in conformity with specifications and advises SUPERINTENDENT, CONSTRUCTION regarding necessary corrections. May serve as an employee of the contractor and study plans and specifications to recommend special equipment or procedures to reduce time and cost of construction. May schedule delivery of materials, analyse costs, and provide technical advice for the solution of construction problems.</t>
        </is>
      </c>
      <c r="E14" s="26" t="n"/>
      <c r="F14" s="26" t="n"/>
      <c r="G14" s="26" t="n"/>
      <c r="H14" s="26" t="n"/>
      <c r="I14" s="26" t="n"/>
      <c r="J14" s="26" t="n"/>
      <c r="K14" s="27" t="n"/>
      <c r="L14" s="27" t="n"/>
      <c r="M14" s="27" t="n"/>
      <c r="N14" s="27" t="n"/>
      <c r="O14" s="27" t="n"/>
      <c r="P14" s="26" t="n"/>
      <c r="Q14" s="26" t="n"/>
      <c r="R14" s="26" t="n"/>
      <c r="S14" s="26" t="n"/>
      <c r="T14" s="26" t="n"/>
      <c r="U14" s="26" t="n"/>
      <c r="V14" s="26" t="n"/>
      <c r="W14" s="26" t="n"/>
      <c r="X14" s="27" t="n"/>
      <c r="Y14" s="28">
        <f>IF(COUNTA(E14:J14,P14:W14)=0,"Not started",IF(COUNTA(E14:J14,P14:W14)&lt;14,"Incomplete",IF((AND(F14&lt;&gt;"",F14&amp;""&lt;&gt;"0",TRIM(K14)="")+AND(G14&lt;&gt;"",G14&amp;""&lt;&gt;"0",TRIM(L14)="")+AND(H14&lt;&gt;"",H14&amp;""&lt;&gt;"0",TRIM(M14)="")+AND(I14&lt;&gt;"",I14&amp;""&lt;&gt;"0",TRIM(N14)="")+AND(J14&lt;&gt;"",J14&amp;""&lt;&gt;"0",TRIM(O14)=""))&gt;0,"Add evidence","Complete")))</f>
        <v/>
      </c>
      <c r="Z14" s="24" t="inlineStr">
        <is>
          <t>2142</t>
        </is>
      </c>
      <c r="AA14" s="24" t="inlineStr">
        <is>
          <t>Civil Engineers</t>
        </is>
      </c>
      <c r="AB14" s="24" t="inlineStr">
        <is>
          <t>214</t>
        </is>
      </c>
      <c r="AC14" s="24" t="inlineStr">
        <is>
          <t>Engineering Professionals (Excluding Electrotechnology)</t>
        </is>
      </c>
      <c r="AD14" s="24" t="n">
        <v>2</v>
      </c>
      <c r="AE14" s="24" t="inlineStr">
        <is>
          <t>Professionals</t>
        </is>
      </c>
      <c r="AF14" s="24" t="inlineStr">
        <is>
          <t>4</t>
        </is>
      </c>
      <c r="AG14" s="24" t="inlineStr">
        <is>
          <t>2142.65</t>
        </is>
      </c>
      <c r="AH14" s="24" t="n"/>
      <c r="AI14" s="24" t="n"/>
    </row>
    <row r="15" ht="409" customHeight="1">
      <c r="A15" s="24" t="n">
        <v>13</v>
      </c>
      <c r="B15" s="24" t="inlineStr">
        <is>
          <t>2145.0900</t>
        </is>
      </c>
      <c r="C15" s="24" t="inlineStr">
        <is>
          <t>Technologist, Fuel</t>
        </is>
      </c>
      <c r="D15" s="25" t="inlineStr">
        <is>
          <t>Technologist, Fuel analyses physical and chemical properties of fuels (solid, liquid and gaseous) in laboratories and plants, and develops improved processes and techniques for optimum utilisation of their heating capacity. Undertakes coal surveys in field stations for quantitative and qualitative assessment of fuel resources. Determines wash ability characteristics, nature and utilisation potentialities of different kinds of fuel. Investigates properties of low-grade coals by experiments to determine their suitability for producing domestic and metallurgical coke required for recovery of by-products, like tar, gas etc. and extraction of chemicals from them by low-temperature carbonisation (heating in absence of air). Organizes and conducts experimental studies on high-temperature carbonisation in relation to optimum utilisation of superior coking coal, upgrading inferior coal, blending sub-standard coking coal with prime coking coal, adoption of improved iron and steel melting techniques, etc. for purposes of production of metallurgical coke and conservation of coking coal reserves. Determines briquetting potentialities of fine coal, coke dust and lignite and develops improved methods of briquetting, by experimental studies, for their efficient utilisation as domestic fuel. Studies coal gasification by conducting tests on by-product fuels and inferior coal for evolving improved and purified process of manufacturing domestic and industrial gas and of utilising gas for synthesis of chemicals and oils, undertakes combustion studies in respect of by-products fuels, middling and rejects their utilisation in power generation for developing suitable small boiler pulverised coal burners and for developing economical combustion techniques. Determines nature of crude petroleum and related correlation indices for developing processes of upgrading kerosene fractions of crude, producing diesel oil from coal tar fractions and utilising surplus motor spirit production etc. Conducts investigations on recovery and utilisation of by-products like gas, tar, benzole and liquor for extraction of industrially useful chemicals and acids, and on conversion coal, coal dust and slacks and other colliery and washery rejects into soil conditioners and organic nitrogenous fertilizers. Undertakes studies on evolving methods of briquetting lignite, their carbonisation and preparation of coke from them, development of coil products from coal and other raw indigenous materials, improving, developing and standardizing methods of sampling, analysis and testing of coal, coke and other fuels, synthesis of liquid fuels like petroleum diesel, kerosene, etc. from coal by direct and indirect methods of hydrogenation, statistical analysis, and programming and survey of scientific and industrial data. Undertakes fundamental studies in different fields; designs high and low-pressure gas storage and distribution system, and appliances for utilizing fuel gas, of varying characteristics. May render technical assistance to industries and other agencies on problems of fuel, and specialize in particular kind of fuel: solid, liquid and gaseous fuel</t>
        </is>
      </c>
      <c r="E15" s="26" t="n"/>
      <c r="F15" s="26" t="n"/>
      <c r="G15" s="26" t="n"/>
      <c r="H15" s="26" t="n"/>
      <c r="I15" s="26" t="n"/>
      <c r="J15" s="26" t="n"/>
      <c r="K15" s="27" t="n"/>
      <c r="L15" s="27" t="n"/>
      <c r="M15" s="27" t="n"/>
      <c r="N15" s="27" t="n"/>
      <c r="O15" s="27" t="n"/>
      <c r="P15" s="26" t="n"/>
      <c r="Q15" s="26" t="n"/>
      <c r="R15" s="26" t="n"/>
      <c r="S15" s="26" t="n"/>
      <c r="T15" s="26" t="n"/>
      <c r="U15" s="26" t="n"/>
      <c r="V15" s="26" t="n"/>
      <c r="W15" s="26" t="n"/>
      <c r="X15" s="27" t="n"/>
      <c r="Y15" s="28">
        <f>IF(COUNTA(E15:J15,P15:W15)=0,"Not started",IF(COUNTA(E15:J15,P15:W15)&lt;14,"Incomplete",IF((AND(F15&lt;&gt;"",F15&amp;""&lt;&gt;"0",TRIM(K15)="")+AND(G15&lt;&gt;"",G15&amp;""&lt;&gt;"0",TRIM(L15)="")+AND(H15&lt;&gt;"",H15&amp;""&lt;&gt;"0",TRIM(M15)="")+AND(I15&lt;&gt;"",I15&amp;""&lt;&gt;"0",TRIM(N15)="")+AND(J15&lt;&gt;"",J15&amp;""&lt;&gt;"0",TRIM(O15)=""))&gt;0,"Add evidence","Complete")))</f>
        <v/>
      </c>
      <c r="Z15" s="24" t="inlineStr">
        <is>
          <t>2145</t>
        </is>
      </c>
      <c r="AA15" s="24" t="inlineStr">
        <is>
          <t>Chemical Engineers</t>
        </is>
      </c>
      <c r="AB15" s="24" t="inlineStr">
        <is>
          <t>214</t>
        </is>
      </c>
      <c r="AC15" s="24" t="inlineStr">
        <is>
          <t>Engineering Professionals (Excluding Electrotechnology)</t>
        </is>
      </c>
      <c r="AD15" s="24" t="n">
        <v>2</v>
      </c>
      <c r="AE15" s="24" t="inlineStr">
        <is>
          <t>Professionals</t>
        </is>
      </c>
      <c r="AF15" s="24" t="inlineStr">
        <is>
          <t>4</t>
        </is>
      </c>
      <c r="AG15" s="24" t="inlineStr">
        <is>
          <t>2146.60</t>
        </is>
      </c>
      <c r="AH15" s="24" t="n"/>
      <c r="AI15" s="24" t="n"/>
    </row>
    <row r="16" ht="72" customHeight="1">
      <c r="A16" s="24" t="n">
        <v>14</v>
      </c>
      <c r="B16" s="24" t="inlineStr">
        <is>
          <t>2152.0801</t>
        </is>
      </c>
      <c r="C16" s="24" t="inlineStr">
        <is>
          <t>Electronic Hardware Design Engineer</t>
        </is>
      </c>
      <c r="D16" s="25" t="inlineStr">
        <is>
          <t>Electronic Hardware Design Engineer receives new product specifications from the customer and develops the PCB design based on the specifications. The individual at work is responsible for undertaking research on new products, work with R&amp;D on developing the schematics, converting them to PCB layout using CAD and other software and generating the Gerber file to pass on to PCB manufacturers.</t>
        </is>
      </c>
      <c r="E16" s="26" t="n"/>
      <c r="F16" s="26" t="n"/>
      <c r="G16" s="26" t="n"/>
      <c r="H16" s="26" t="n"/>
      <c r="I16" s="26" t="n"/>
      <c r="J16" s="26" t="n"/>
      <c r="K16" s="27" t="n"/>
      <c r="L16" s="27" t="n"/>
      <c r="M16" s="27" t="n"/>
      <c r="N16" s="27" t="n"/>
      <c r="O16" s="27" t="n"/>
      <c r="P16" s="26" t="n"/>
      <c r="Q16" s="26" t="n"/>
      <c r="R16" s="26" t="n"/>
      <c r="S16" s="26" t="n"/>
      <c r="T16" s="26" t="n"/>
      <c r="U16" s="26" t="n"/>
      <c r="V16" s="26" t="n"/>
      <c r="W16" s="26" t="n"/>
      <c r="X16" s="27" t="n"/>
      <c r="Y16" s="28">
        <f>IF(COUNTA(E16:J16,P16:W16)=0,"Not started",IF(COUNTA(E16:J16,P16:W16)&lt;14,"Incomplete",IF((AND(F16&lt;&gt;"",F16&amp;""&lt;&gt;"0",TRIM(K16)="")+AND(G16&lt;&gt;"",G16&amp;""&lt;&gt;"0",TRIM(L16)="")+AND(H16&lt;&gt;"",H16&amp;""&lt;&gt;"0",TRIM(M16)="")+AND(I16&lt;&gt;"",I16&amp;""&lt;&gt;"0",TRIM(N16)="")+AND(J16&lt;&gt;"",J16&amp;""&lt;&gt;"0",TRIM(O16)=""))&gt;0,"Add evidence","Complete")))</f>
        <v/>
      </c>
      <c r="Z16" s="24" t="inlineStr">
        <is>
          <t>2152</t>
        </is>
      </c>
      <c r="AA16" s="24" t="inlineStr">
        <is>
          <t>Electronics Engineers</t>
        </is>
      </c>
      <c r="AB16" s="24" t="inlineStr">
        <is>
          <t>215</t>
        </is>
      </c>
      <c r="AC16" s="24" t="inlineStr">
        <is>
          <t>Electrotechnology Engineers</t>
        </is>
      </c>
      <c r="AD16" s="24" t="n">
        <v>2</v>
      </c>
      <c r="AE16" s="24" t="inlineStr">
        <is>
          <t>Professionals</t>
        </is>
      </c>
      <c r="AF16" s="24" t="inlineStr">
        <is>
          <t>4</t>
        </is>
      </c>
      <c r="AG16" s="24" t="n"/>
      <c r="AH16" s="24" t="inlineStr">
        <is>
          <t>ELE/Q6102</t>
        </is>
      </c>
      <c r="AI16" s="24" t="n"/>
    </row>
    <row r="17" ht="230.4" customHeight="1">
      <c r="A17" s="24" t="n">
        <v>15</v>
      </c>
      <c r="B17" s="24" t="inlineStr">
        <is>
          <t>2153.0400</t>
        </is>
      </c>
      <c r="C17" s="24" t="inlineStr">
        <is>
          <t>Line Communication Engineer, Telecommunication/Telecommunication Engineer/Technician</t>
        </is>
      </c>
      <c r="D17" s="25" t="inlineStr">
        <is>
          <t>Line Communication Engineer, Telecommunication; Telephone Engineer; Telegraph Engineer plans, designs, installs and maintains telegraph, telephone and other tele-communication equipment. Installs telephone and telegraph communication equipment and supplies necessary power to them. Instructs subordinates in correct methods of laying underground cables, submarine cables, overhead lines, etc. Installs telephone equipment and gives service connections to subscribers. Plans and develops new telephone or telegraph equipment or improves existing ones to give better service facilities to customers. Maintains equipment in perfect working condition and ensures that communication circuits in telephone exchanges, telegraph offices, long distance communication lines, carrier systems for trunk services, teleprinters etc., are maintained at optimum level of efficiency. Attends to breakdowns of communication and traffic lines and restores service quickly by rectifying defects or research and develops new equipment or components to improve methods of communication. May calculate distance between nearest telephone line and subscriber’s location, cost of materials required, labour charges etc., and prepare estimates for installation of telephone connections to new subscribers. May specialize in installing manual, automatic or trunk telecom exchanges, teleprinters (voice frequency telegraph type), carrier system or wireless transmitting and receiving stations. May specialize in manufacturing of telephone and telegraph equipment and their spare parts.</t>
        </is>
      </c>
      <c r="E17" s="26" t="n"/>
      <c r="F17" s="26" t="n"/>
      <c r="G17" s="26" t="n"/>
      <c r="H17" s="26" t="n"/>
      <c r="I17" s="26" t="n"/>
      <c r="J17" s="26" t="n"/>
      <c r="K17" s="27" t="n"/>
      <c r="L17" s="27" t="n"/>
      <c r="M17" s="27" t="n"/>
      <c r="N17" s="27" t="n"/>
      <c r="O17" s="27" t="n"/>
      <c r="P17" s="26" t="n"/>
      <c r="Q17" s="26" t="n"/>
      <c r="R17" s="26" t="n"/>
      <c r="S17" s="26" t="n"/>
      <c r="T17" s="26" t="n"/>
      <c r="U17" s="26" t="n"/>
      <c r="V17" s="26" t="n"/>
      <c r="W17" s="26" t="n"/>
      <c r="X17" s="27" t="n"/>
      <c r="Y17" s="28">
        <f>IF(COUNTA(E17:J17,P17:W17)=0,"Not started",IF(COUNTA(E17:J17,P17:W17)&lt;14,"Incomplete",IF((AND(F17&lt;&gt;"",F17&amp;""&lt;&gt;"0",TRIM(K17)="")+AND(G17&lt;&gt;"",G17&amp;""&lt;&gt;"0",TRIM(L17)="")+AND(H17&lt;&gt;"",H17&amp;""&lt;&gt;"0",TRIM(M17)="")+AND(I17&lt;&gt;"",I17&amp;""&lt;&gt;"0",TRIM(N17)="")+AND(J17&lt;&gt;"",J17&amp;""&lt;&gt;"0",TRIM(O17)=""))&gt;0,"Add evidence","Complete")))</f>
        <v/>
      </c>
      <c r="Z17" s="24" t="inlineStr">
        <is>
          <t>2153</t>
        </is>
      </c>
      <c r="AA17" s="24" t="inlineStr">
        <is>
          <t>Telecommunication Engineers</t>
        </is>
      </c>
      <c r="AB17" s="24" t="inlineStr">
        <is>
          <t>215</t>
        </is>
      </c>
      <c r="AC17" s="24" t="inlineStr">
        <is>
          <t>Electrotechnology Engineers</t>
        </is>
      </c>
      <c r="AD17" s="24" t="n">
        <v>2</v>
      </c>
      <c r="AE17" s="24" t="inlineStr">
        <is>
          <t>Professionals</t>
        </is>
      </c>
      <c r="AF17" s="24" t="inlineStr">
        <is>
          <t>4</t>
        </is>
      </c>
      <c r="AG17" s="24" t="inlineStr">
        <is>
          <t>2144.40</t>
        </is>
      </c>
      <c r="AH17" s="24" t="n"/>
      <c r="AI17" s="24" t="n"/>
    </row>
    <row r="18" ht="98.39999999999999" customHeight="1">
      <c r="A18" s="24" t="n">
        <v>16</v>
      </c>
      <c r="B18" s="24" t="inlineStr">
        <is>
          <t>2165.0300</t>
        </is>
      </c>
      <c r="C18" s="24" t="inlineStr">
        <is>
          <t>Aerial-Photograph Interpreter</t>
        </is>
      </c>
      <c r="D18" s="25" t="inlineStr">
        <is>
          <t>Aerial-Photograph Interpreter analyses aerial photographs to detect significant industrial, resource, or topographical data. Studies photographs to locate roads, industrial centres, rivers, forest areas, and to determine nature of terrain. Interprets photographs to evaluate the potentiality of resources. May draw maps for use of field officers in planning and exploitation of resources. May interpret photographs for timber evaluation, water shed management, construction, or mining. May request enlargement of photograph for more detailed analysis. May use computers and data banks to store, retrieve, and compare information.</t>
        </is>
      </c>
      <c r="E18" s="26" t="n"/>
      <c r="F18" s="26" t="n"/>
      <c r="G18" s="26" t="n"/>
      <c r="H18" s="26" t="n"/>
      <c r="I18" s="26" t="n"/>
      <c r="J18" s="26" t="n"/>
      <c r="K18" s="27" t="n"/>
      <c r="L18" s="27" t="n"/>
      <c r="M18" s="27" t="n"/>
      <c r="N18" s="27" t="n"/>
      <c r="O18" s="27" t="n"/>
      <c r="P18" s="26" t="n"/>
      <c r="Q18" s="26" t="n"/>
      <c r="R18" s="26" t="n"/>
      <c r="S18" s="26" t="n"/>
      <c r="T18" s="26" t="n"/>
      <c r="U18" s="26" t="n"/>
      <c r="V18" s="26" t="n"/>
      <c r="W18" s="26" t="n"/>
      <c r="X18" s="27" t="n"/>
      <c r="Y18" s="28">
        <f>IF(COUNTA(E18:J18,P18:W18)=0,"Not started",IF(COUNTA(E18:J18,P18:W18)&lt;14,"Incomplete",IF((AND(F18&lt;&gt;"",F18&amp;""&lt;&gt;"0",TRIM(K18)="")+AND(G18&lt;&gt;"",G18&amp;""&lt;&gt;"0",TRIM(L18)="")+AND(H18&lt;&gt;"",H18&amp;""&lt;&gt;"0",TRIM(M18)="")+AND(I18&lt;&gt;"",I18&amp;""&lt;&gt;"0",TRIM(N18)="")+AND(J18&lt;&gt;"",J18&amp;""&lt;&gt;"0",TRIM(O18)=""))&gt;0,"Add evidence","Complete")))</f>
        <v/>
      </c>
      <c r="Z18" s="24" t="inlineStr">
        <is>
          <t>2165</t>
        </is>
      </c>
      <c r="AA18" s="24" t="inlineStr">
        <is>
          <t>Cartographers and Surveyors</t>
        </is>
      </c>
      <c r="AB18" s="24" t="inlineStr">
        <is>
          <t>216</t>
        </is>
      </c>
      <c r="AC18" s="24" t="inlineStr">
        <is>
          <t>Architects, Planners, Surveyors and Designers</t>
        </is>
      </c>
      <c r="AD18" s="24" t="n">
        <v>2</v>
      </c>
      <c r="AE18" s="24" t="inlineStr">
        <is>
          <t>Professionals</t>
        </is>
      </c>
      <c r="AF18" s="24" t="inlineStr">
        <is>
          <t>4</t>
        </is>
      </c>
      <c r="AG18" s="24" t="inlineStr">
        <is>
          <t>2148.25</t>
        </is>
      </c>
      <c r="AH18" s="24" t="n"/>
      <c r="AI18" s="24" t="n"/>
    </row>
    <row r="19" ht="32.4" customHeight="1">
      <c r="A19" s="24" t="n">
        <v>17</v>
      </c>
      <c r="B19" s="24" t="inlineStr">
        <is>
          <t>2166.0210</t>
        </is>
      </c>
      <c r="C19" s="24" t="inlineStr">
        <is>
          <t>Rendering Artist</t>
        </is>
      </c>
      <c r="D19" s="25" t="inlineStr">
        <is>
          <t>Rendering Artist needs to convert three-dimensional geometric models into a set of viewable images</t>
        </is>
      </c>
      <c r="E19" s="26" t="n"/>
      <c r="F19" s="26" t="n"/>
      <c r="G19" s="26" t="n"/>
      <c r="H19" s="26" t="n"/>
      <c r="I19" s="26" t="n"/>
      <c r="J19" s="26" t="n"/>
      <c r="K19" s="27" t="n"/>
      <c r="L19" s="27" t="n"/>
      <c r="M19" s="27" t="n"/>
      <c r="N19" s="27" t="n"/>
      <c r="O19" s="27" t="n"/>
      <c r="P19" s="26" t="n"/>
      <c r="Q19" s="26" t="n"/>
      <c r="R19" s="26" t="n"/>
      <c r="S19" s="26" t="n"/>
      <c r="T19" s="26" t="n"/>
      <c r="U19" s="26" t="n"/>
      <c r="V19" s="26" t="n"/>
      <c r="W19" s="26" t="n"/>
      <c r="X19" s="27" t="n"/>
      <c r="Y19" s="28">
        <f>IF(COUNTA(E19:J19,P19:W19)=0,"Not started",IF(COUNTA(E19:J19,P19:W19)&lt;14,"Incomplete",IF((AND(F19&lt;&gt;"",F19&amp;""&lt;&gt;"0",TRIM(K19)="")+AND(G19&lt;&gt;"",G19&amp;""&lt;&gt;"0",TRIM(L19)="")+AND(H19&lt;&gt;"",H19&amp;""&lt;&gt;"0",TRIM(M19)="")+AND(I19&lt;&gt;"",I19&amp;""&lt;&gt;"0",TRIM(N19)="")+AND(J19&lt;&gt;"",J19&amp;""&lt;&gt;"0",TRIM(O19)=""))&gt;0,"Add evidence","Complete")))</f>
        <v/>
      </c>
      <c r="Z19" s="24" t="inlineStr">
        <is>
          <t>2166</t>
        </is>
      </c>
      <c r="AA19" s="24" t="inlineStr">
        <is>
          <t>Graphic and Multimedia Designers</t>
        </is>
      </c>
      <c r="AB19" s="24" t="inlineStr">
        <is>
          <t>216</t>
        </is>
      </c>
      <c r="AC19" s="24" t="inlineStr">
        <is>
          <t>Architects, Planners, Surveyors and Designers</t>
        </is>
      </c>
      <c r="AD19" s="24" t="n">
        <v>2</v>
      </c>
      <c r="AE19" s="24" t="inlineStr">
        <is>
          <t>Professionals</t>
        </is>
      </c>
      <c r="AF19" s="24" t="inlineStr">
        <is>
          <t>4</t>
        </is>
      </c>
      <c r="AG19" s="24" t="n"/>
      <c r="AH19" s="24" t="inlineStr">
        <is>
          <t>MES/Q3503</t>
        </is>
      </c>
      <c r="AI19" s="24" t="n"/>
    </row>
    <row r="20" ht="151.2" customHeight="1">
      <c r="A20" s="24" t="n">
        <v>18</v>
      </c>
      <c r="B20" s="24" t="inlineStr">
        <is>
          <t>2166.0300</t>
        </is>
      </c>
      <c r="C20" s="24" t="inlineStr">
        <is>
          <t>Web Designer</t>
        </is>
      </c>
      <c r="D20" s="25" t="inlineStr">
        <is>
          <t>Web Designer provides strategic and sustainable aesthetic to the web site that supports business goals, information architecture, customer service applications, and brand strategy. Drives visual recommendations and solutions to both current page type and future redesign efforts. Translates complex concepts to convincing and compelling visualisations. Determines look-and-feel of website, online products, and other interactive initiatives. Creates original graphics and icons for use on the site and other group projects. Defines and implements web design parameters, style guides, and visual standards. Establishes and produces graphic material for use in online advertising and promotion of services and products. Builds strong collaborative relationships with team and client. Documents strategic decisions using diagrams and text. Documents design and creation. Prepares Hand-drawings, hand-letter storyboard and design forms where needed. Manipulates images, style photos, provides art direction, and acquires photos.</t>
        </is>
      </c>
      <c r="E20" s="26" t="n"/>
      <c r="F20" s="26" t="n"/>
      <c r="G20" s="26" t="n"/>
      <c r="H20" s="26" t="n"/>
      <c r="I20" s="26" t="n"/>
      <c r="J20" s="26" t="n"/>
      <c r="K20" s="27" t="n"/>
      <c r="L20" s="27" t="n"/>
      <c r="M20" s="27" t="n"/>
      <c r="N20" s="27" t="n"/>
      <c r="O20" s="27" t="n"/>
      <c r="P20" s="26" t="n"/>
      <c r="Q20" s="26" t="n"/>
      <c r="R20" s="26" t="n"/>
      <c r="S20" s="26" t="n"/>
      <c r="T20" s="26" t="n"/>
      <c r="U20" s="26" t="n"/>
      <c r="V20" s="26" t="n"/>
      <c r="W20" s="26" t="n"/>
      <c r="X20" s="27" t="n"/>
      <c r="Y20" s="28">
        <f>IF(COUNTA(E20:J20,P20:W20)=0,"Not started",IF(COUNTA(E20:J20,P20:W20)&lt;14,"Incomplete",IF((AND(F20&lt;&gt;"",F20&amp;""&lt;&gt;"0",TRIM(K20)="")+AND(G20&lt;&gt;"",G20&amp;""&lt;&gt;"0",TRIM(L20)="")+AND(H20&lt;&gt;"",H20&amp;""&lt;&gt;"0",TRIM(M20)="")+AND(I20&lt;&gt;"",I20&amp;""&lt;&gt;"0",TRIM(N20)="")+AND(J20&lt;&gt;"",J20&amp;""&lt;&gt;"0",TRIM(O20)=""))&gt;0,"Add evidence","Complete")))</f>
        <v/>
      </c>
      <c r="Z20" s="24" t="inlineStr">
        <is>
          <t>2166</t>
        </is>
      </c>
      <c r="AA20" s="24" t="inlineStr">
        <is>
          <t>Graphic and Multimedia Designers</t>
        </is>
      </c>
      <c r="AB20" s="24" t="inlineStr">
        <is>
          <t>216</t>
        </is>
      </c>
      <c r="AC20" s="24" t="inlineStr">
        <is>
          <t>Architects, Planners, Surveyors and Designers</t>
        </is>
      </c>
      <c r="AD20" s="24" t="n">
        <v>2</v>
      </c>
      <c r="AE20" s="24" t="inlineStr">
        <is>
          <t>Professionals</t>
        </is>
      </c>
      <c r="AF20" s="24" t="inlineStr">
        <is>
          <t>4</t>
        </is>
      </c>
      <c r="AG20" s="24" t="inlineStr">
        <is>
          <t>2452.80</t>
        </is>
      </c>
      <c r="AH20" s="24" t="n"/>
      <c r="AI20" s="24" t="n"/>
    </row>
    <row r="21" ht="45.59999999999999" customHeight="1">
      <c r="A21" s="24" t="n">
        <v>19</v>
      </c>
      <c r="B21" s="24" t="inlineStr">
        <is>
          <t>2166.0401</t>
        </is>
      </c>
      <c r="C21" s="24" t="inlineStr">
        <is>
          <t>Designer (CAD)</t>
        </is>
      </c>
      <c r="D21" s="25" t="inlineStr">
        <is>
          <t>Designer (CAD) uses CAD software and tools to produce a range of jewellery designs that are also practical for manufacturing. CAD drawings provide all the information that forms the basis for every stage of manufacturing the jewellery.</t>
        </is>
      </c>
      <c r="E21" s="26" t="n"/>
      <c r="F21" s="26" t="n"/>
      <c r="G21" s="26" t="n"/>
      <c r="H21" s="26" t="n"/>
      <c r="I21" s="26" t="n"/>
      <c r="J21" s="26" t="n"/>
      <c r="K21" s="27" t="n"/>
      <c r="L21" s="27" t="n"/>
      <c r="M21" s="27" t="n"/>
      <c r="N21" s="27" t="n"/>
      <c r="O21" s="27" t="n"/>
      <c r="P21" s="26" t="n"/>
      <c r="Q21" s="26" t="n"/>
      <c r="R21" s="26" t="n"/>
      <c r="S21" s="26" t="n"/>
      <c r="T21" s="26" t="n"/>
      <c r="U21" s="26" t="n"/>
      <c r="V21" s="26" t="n"/>
      <c r="W21" s="26" t="n"/>
      <c r="X21" s="27" t="n"/>
      <c r="Y21" s="28">
        <f>IF(COUNTA(E21:J21,P21:W21)=0,"Not started",IF(COUNTA(E21:J21,P21:W21)&lt;14,"Incomplete",IF((AND(F21&lt;&gt;"",F21&amp;""&lt;&gt;"0",TRIM(K21)="")+AND(G21&lt;&gt;"",G21&amp;""&lt;&gt;"0",TRIM(L21)="")+AND(H21&lt;&gt;"",H21&amp;""&lt;&gt;"0",TRIM(M21)="")+AND(I21&lt;&gt;"",I21&amp;""&lt;&gt;"0",TRIM(N21)="")+AND(J21&lt;&gt;"",J21&amp;""&lt;&gt;"0",TRIM(O21)=""))&gt;0,"Add evidence","Complete")))</f>
        <v/>
      </c>
      <c r="Z21" s="24" t="inlineStr">
        <is>
          <t>2166</t>
        </is>
      </c>
      <c r="AA21" s="24" t="inlineStr">
        <is>
          <t>Graphic and Multimedia Designers</t>
        </is>
      </c>
      <c r="AB21" s="24" t="inlineStr">
        <is>
          <t>216</t>
        </is>
      </c>
      <c r="AC21" s="24" t="inlineStr">
        <is>
          <t>Architects, Planners, Surveyors and Designers</t>
        </is>
      </c>
      <c r="AD21" s="24" t="n">
        <v>2</v>
      </c>
      <c r="AE21" s="24" t="inlineStr">
        <is>
          <t>Professionals</t>
        </is>
      </c>
      <c r="AF21" s="24" t="inlineStr">
        <is>
          <t>4</t>
        </is>
      </c>
      <c r="AG21" s="24" t="n"/>
      <c r="AH21" s="24" t="inlineStr">
        <is>
          <t>G&amp;J/Q2303</t>
        </is>
      </c>
      <c r="AI21" s="24" t="n"/>
    </row>
    <row r="22" ht="124.8" customHeight="1">
      <c r="A22" s="24" t="n">
        <v>20</v>
      </c>
      <c r="B22" s="24" t="inlineStr">
        <is>
          <t>2211.0200</t>
        </is>
      </c>
      <c r="C22" s="24" t="inlineStr">
        <is>
          <t>Surgeon, General</t>
        </is>
      </c>
      <c r="D22" s="25" t="inlineStr">
        <is>
          <t>Surgeon, General diagnoses and treats injuries, diseases or disorders of human body by prescribing medicines or surgical operations. Examines patients to determine nature and extent of injury or ailments for treatment; by medicine, through local application or operation. Gets patient X-rayed or histo-pathologically examined in serious and complicated cases. Decides upon patient’s ability to withstand surgical operation. Obtains written permission from legal heir of patient before undertaking major operation for personal safeguards against death of patient and ensures that all precautions have been taken before operation. May administer drugs and anaesthetics as required. May obtain opinion of other specialists before diagnosis and performance of major operations. May specialize in thoracic surgery, plastic surgery etc. and be designated accordingly.</t>
        </is>
      </c>
      <c r="E22" s="26" t="n"/>
      <c r="F22" s="26" t="n"/>
      <c r="G22" s="26" t="n"/>
      <c r="H22" s="26" t="n"/>
      <c r="I22" s="26" t="n"/>
      <c r="J22" s="26" t="n"/>
      <c r="K22" s="27" t="n"/>
      <c r="L22" s="27" t="n"/>
      <c r="M22" s="27" t="n"/>
      <c r="N22" s="27" t="n"/>
      <c r="O22" s="27" t="n"/>
      <c r="P22" s="26" t="n"/>
      <c r="Q22" s="26" t="n"/>
      <c r="R22" s="26" t="n"/>
      <c r="S22" s="26" t="n"/>
      <c r="T22" s="26" t="n"/>
      <c r="U22" s="26" t="n"/>
      <c r="V22" s="26" t="n"/>
      <c r="W22" s="26" t="n"/>
      <c r="X22" s="27" t="n"/>
      <c r="Y22" s="28">
        <f>IF(COUNTA(E22:J22,P22:W22)=0,"Not started",IF(COUNTA(E22:J22,P22:W22)&lt;14,"Incomplete",IF((AND(F22&lt;&gt;"",F22&amp;""&lt;&gt;"0",TRIM(K22)="")+AND(G22&lt;&gt;"",G22&amp;""&lt;&gt;"0",TRIM(L22)="")+AND(H22&lt;&gt;"",H22&amp;""&lt;&gt;"0",TRIM(M22)="")+AND(I22&lt;&gt;"",I22&amp;""&lt;&gt;"0",TRIM(N22)="")+AND(J22&lt;&gt;"",J22&amp;""&lt;&gt;"0",TRIM(O22)=""))&gt;0,"Add evidence","Complete")))</f>
        <v/>
      </c>
      <c r="Z22" s="24" t="inlineStr">
        <is>
          <t>2211</t>
        </is>
      </c>
      <c r="AA22" s="24" t="inlineStr">
        <is>
          <t>Generalist Medical Practitioners</t>
        </is>
      </c>
      <c r="AB22" s="24" t="inlineStr">
        <is>
          <t>221</t>
        </is>
      </c>
      <c r="AC22" s="24" t="inlineStr">
        <is>
          <t>Medical Doctors</t>
        </is>
      </c>
      <c r="AD22" s="24" t="n">
        <v>2</v>
      </c>
      <c r="AE22" s="24" t="inlineStr">
        <is>
          <t>Professionals</t>
        </is>
      </c>
      <c r="AF22" s="24" t="inlineStr">
        <is>
          <t>4</t>
        </is>
      </c>
      <c r="AG22" s="24" t="inlineStr">
        <is>
          <t>2221.15</t>
        </is>
      </c>
      <c r="AH22" s="24" t="n"/>
      <c r="AI22" s="24" t="n"/>
    </row>
    <row r="23" ht="138" customHeight="1">
      <c r="A23" s="24" t="n">
        <v>21</v>
      </c>
      <c r="B23" s="24" t="inlineStr">
        <is>
          <t>2211.0500</t>
        </is>
      </c>
      <c r="C23" s="24" t="inlineStr">
        <is>
          <t>Psychiatrist</t>
        </is>
      </c>
      <c r="D23" s="25" t="inlineStr">
        <is>
          <t>Psychiatrist diagnoses and treats human mental diseases and disorders. Conducts examination of body for abnormal behaviour or mental activity and related abnormality to disease and disorder of other systems of body. Studies psychological test histo-pathological examination, X-ray observations and other clinical data along with history of diseases and other personal information and diagnoses disorder. Prescribes and conducts treatment of patient as required by ailment; by medicinal or surgical methods. Helps patient adjust self and control emotions and habits. May refer patients to other specialists to diagnose disease relating to other parts of body. May specialize in any technique of treatment and diagnosis of disorder. May conduct child guidance clinics, marriage counselling and marriage guidance clinics, genetic guidance clinic, vocational guidance clinics and vocational selection clinics.</t>
        </is>
      </c>
      <c r="E23" s="26" t="n"/>
      <c r="F23" s="26" t="n"/>
      <c r="G23" s="26" t="n"/>
      <c r="H23" s="26" t="n"/>
      <c r="I23" s="26" t="n"/>
      <c r="J23" s="26" t="n"/>
      <c r="K23" s="27" t="n"/>
      <c r="L23" s="27" t="n"/>
      <c r="M23" s="27" t="n"/>
      <c r="N23" s="27" t="n"/>
      <c r="O23" s="27" t="n"/>
      <c r="P23" s="26" t="n"/>
      <c r="Q23" s="26" t="n"/>
      <c r="R23" s="26" t="n"/>
      <c r="S23" s="26" t="n"/>
      <c r="T23" s="26" t="n"/>
      <c r="U23" s="26" t="n"/>
      <c r="V23" s="26" t="n"/>
      <c r="W23" s="26" t="n"/>
      <c r="X23" s="27" t="n"/>
      <c r="Y23" s="28">
        <f>IF(COUNTA(E23:J23,P23:W23)=0,"Not started",IF(COUNTA(E23:J23,P23:W23)&lt;14,"Incomplete",IF((AND(F23&lt;&gt;"",F23&amp;""&lt;&gt;"0",TRIM(K23)="")+AND(G23&lt;&gt;"",G23&amp;""&lt;&gt;"0",TRIM(L23)="")+AND(H23&lt;&gt;"",H23&amp;""&lt;&gt;"0",TRIM(M23)="")+AND(I23&lt;&gt;"",I23&amp;""&lt;&gt;"0",TRIM(N23)="")+AND(J23&lt;&gt;"",J23&amp;""&lt;&gt;"0",TRIM(O23)=""))&gt;0,"Add evidence","Complete")))</f>
        <v/>
      </c>
      <c r="Z23" s="24" t="inlineStr">
        <is>
          <t>2211</t>
        </is>
      </c>
      <c r="AA23" s="24" t="inlineStr">
        <is>
          <t>Generalist Medical Practitioners</t>
        </is>
      </c>
      <c r="AB23" s="24" t="inlineStr">
        <is>
          <t>221</t>
        </is>
      </c>
      <c r="AC23" s="24" t="inlineStr">
        <is>
          <t>Medical Doctors</t>
        </is>
      </c>
      <c r="AD23" s="24" t="n">
        <v>2</v>
      </c>
      <c r="AE23" s="24" t="inlineStr">
        <is>
          <t>Professionals</t>
        </is>
      </c>
      <c r="AF23" s="24" t="inlineStr">
        <is>
          <t>4</t>
        </is>
      </c>
      <c r="AG23" s="24" t="inlineStr">
        <is>
          <t>2221.30</t>
        </is>
      </c>
      <c r="AH23" s="24" t="n"/>
      <c r="AI23" s="24" t="n"/>
    </row>
    <row r="24" ht="151.2" customHeight="1">
      <c r="A24" s="24" t="n">
        <v>22</v>
      </c>
      <c r="B24" s="24" t="inlineStr">
        <is>
          <t>2212.1900</t>
        </is>
      </c>
      <c r="C24" s="24" t="inlineStr">
        <is>
          <t>Physiologist, Medical</t>
        </is>
      </c>
      <c r="D24" s="25" t="inlineStr">
        <is>
          <t>Physiologist, Medical studies normal functioning of different organs and tissue of human body and investigates effect of physical environments such as variations in altitude, speed, temperature, etc. on its vital functions. Conducts experiments on suitable animals to study effects of changing physical conditions on vital functions of body such as digestion excretions, genitals, cardiac system etc. studies limits of physical endurance and physiological reactions under extreme environmental conditions due to altitude; temperature, noise, nutrition, etc., using microscope or other instruments and finds cause and prevention of functional abnormality. Records and reports findings and uses them as basis for research into related problems. May specialize in study of any physiological system and be known as Neurophysiologist who specializes in physiology of human nervous system, Cardiovascular Physiologist who specializes in physiology of human circulatory systems etc. May conduct experiments to solves particular problems relating to human life.</t>
        </is>
      </c>
      <c r="E24" s="26" t="n"/>
      <c r="F24" s="26" t="n"/>
      <c r="G24" s="26" t="n"/>
      <c r="H24" s="26" t="n"/>
      <c r="I24" s="26" t="n"/>
      <c r="J24" s="26" t="n"/>
      <c r="K24" s="27" t="n"/>
      <c r="L24" s="27" t="n"/>
      <c r="M24" s="27" t="n"/>
      <c r="N24" s="27" t="n"/>
      <c r="O24" s="27" t="n"/>
      <c r="P24" s="26" t="n"/>
      <c r="Q24" s="26" t="n"/>
      <c r="R24" s="26" t="n"/>
      <c r="S24" s="26" t="n"/>
      <c r="T24" s="26" t="n"/>
      <c r="U24" s="26" t="n"/>
      <c r="V24" s="26" t="n"/>
      <c r="W24" s="26" t="n"/>
      <c r="X24" s="27" t="n"/>
      <c r="Y24" s="28">
        <f>IF(COUNTA(E24:J24,P24:W24)=0,"Not started",IF(COUNTA(E24:J24,P24:W24)&lt;14,"Incomplete",IF((AND(F24&lt;&gt;"",F24&amp;""&lt;&gt;"0",TRIM(K24)="")+AND(G24&lt;&gt;"",G24&amp;""&lt;&gt;"0",TRIM(L24)="")+AND(H24&lt;&gt;"",H24&amp;""&lt;&gt;"0",TRIM(M24)="")+AND(I24&lt;&gt;"",I24&amp;""&lt;&gt;"0",TRIM(N24)="")+AND(J24&lt;&gt;"",J24&amp;""&lt;&gt;"0",TRIM(O24)=""))&gt;0,"Add evidence","Complete")))</f>
        <v/>
      </c>
      <c r="Z24" s="24" t="inlineStr">
        <is>
          <t>2212</t>
        </is>
      </c>
      <c r="AA24" s="24" t="inlineStr">
        <is>
          <t>Specialist Medical Practitioners</t>
        </is>
      </c>
      <c r="AB24" s="24" t="inlineStr">
        <is>
          <t>221</t>
        </is>
      </c>
      <c r="AC24" s="24" t="inlineStr">
        <is>
          <t>Medical Doctors</t>
        </is>
      </c>
      <c r="AD24" s="24" t="n">
        <v>2</v>
      </c>
      <c r="AE24" s="24" t="inlineStr">
        <is>
          <t>Professionals</t>
        </is>
      </c>
      <c r="AF24" s="24" t="inlineStr">
        <is>
          <t>4</t>
        </is>
      </c>
      <c r="AG24" s="24" t="inlineStr">
        <is>
          <t>2212.50</t>
        </is>
      </c>
      <c r="AH24" s="24" t="n"/>
      <c r="AI24" s="24" t="n"/>
    </row>
    <row r="25" ht="32.4" customHeight="1">
      <c r="A25" s="24" t="n">
        <v>23</v>
      </c>
      <c r="B25" s="24" t="inlineStr">
        <is>
          <t>2221.9900</t>
        </is>
      </c>
      <c r="C25" s="24" t="inlineStr">
        <is>
          <t>Professional Nurses, Other</t>
        </is>
      </c>
      <c r="D25" s="25" t="inlineStr">
        <is>
          <t>Professional Nurses, Other include all other Nurses engaged in treatment of patients, disabled persons and invalids, not elsewhere classified.</t>
        </is>
      </c>
      <c r="E25" s="26" t="n"/>
      <c r="F25" s="26" t="n"/>
      <c r="G25" s="26" t="n"/>
      <c r="H25" s="26" t="n"/>
      <c r="I25" s="26" t="n"/>
      <c r="J25" s="26" t="n"/>
      <c r="K25" s="27" t="n"/>
      <c r="L25" s="27" t="n"/>
      <c r="M25" s="27" t="n"/>
      <c r="N25" s="27" t="n"/>
      <c r="O25" s="27" t="n"/>
      <c r="P25" s="26" t="n"/>
      <c r="Q25" s="26" t="n"/>
      <c r="R25" s="26" t="n"/>
      <c r="S25" s="26" t="n"/>
      <c r="T25" s="26" t="n"/>
      <c r="U25" s="26" t="n"/>
      <c r="V25" s="26" t="n"/>
      <c r="W25" s="26" t="n"/>
      <c r="X25" s="27" t="n"/>
      <c r="Y25" s="28">
        <f>IF(COUNTA(E25:J25,P25:W25)=0,"Not started",IF(COUNTA(E25:J25,P25:W25)&lt;14,"Incomplete",IF((AND(F25&lt;&gt;"",F25&amp;""&lt;&gt;"0",TRIM(K25)="")+AND(G25&lt;&gt;"",G25&amp;""&lt;&gt;"0",TRIM(L25)="")+AND(H25&lt;&gt;"",H25&amp;""&lt;&gt;"0",TRIM(M25)="")+AND(I25&lt;&gt;"",I25&amp;""&lt;&gt;"0",TRIM(N25)="")+AND(J25&lt;&gt;"",J25&amp;""&lt;&gt;"0",TRIM(O25)=""))&gt;0,"Add evidence","Complete")))</f>
        <v/>
      </c>
      <c r="Z25" s="24" t="inlineStr">
        <is>
          <t>2221</t>
        </is>
      </c>
      <c r="AA25" s="24" t="inlineStr">
        <is>
          <t>Nursing Professionals</t>
        </is>
      </c>
      <c r="AB25" s="24" t="inlineStr">
        <is>
          <t>222</t>
        </is>
      </c>
      <c r="AC25" s="24" t="inlineStr">
        <is>
          <t>Nursing and Midwifery Professionals</t>
        </is>
      </c>
      <c r="AD25" s="24" t="n">
        <v>2</v>
      </c>
      <c r="AE25" s="24" t="inlineStr">
        <is>
          <t>Professionals</t>
        </is>
      </c>
      <c r="AF25" s="24" t="inlineStr">
        <is>
          <t>4</t>
        </is>
      </c>
      <c r="AG25" s="24" t="inlineStr">
        <is>
          <t>2230.90</t>
        </is>
      </c>
      <c r="AH25" s="24" t="n"/>
      <c r="AI25" s="24" t="n"/>
    </row>
    <row r="26" ht="151.2" customHeight="1">
      <c r="A26" s="24" t="n">
        <v>24</v>
      </c>
      <c r="B26" s="24" t="inlineStr">
        <is>
          <t>2230.0200</t>
        </is>
      </c>
      <c r="C26" s="24" t="inlineStr">
        <is>
          <t>Physician, Homeopathic</t>
        </is>
      </c>
      <c r="D26" s="25" t="inlineStr">
        <is>
          <t>Physician, Homoeopathic examines patients to diagnose ailments and prescribes necessary medicines according to homeopathic system of treatment. Records history of disease or disorder, and patients and his family’s (both paternal and maternal) past and present, mental and physical reaction to heat, cold, food etc. by careful questioning, and obtains complete subjective and objective picture of symptoms expressed. Prescribes homoeopathic medicine to treat patient for symptoms exhibited. Instructs patients on diet restrictions during course of treatment. Keeps case history of patient and treatment prescribed along with progress report. Prescribes prophylactics in course of epidemics to safeguard against spread of infectious diseases and instructs healthy persons on general hygienic principles for preservation of health. May consider results of X-ray, clinical and pathological examination for proper diagnosis. May dispense homoeopathic drugs and medicines singly and potentised form.</t>
        </is>
      </c>
      <c r="E26" s="26" t="n"/>
      <c r="F26" s="26" t="n"/>
      <c r="G26" s="26" t="n"/>
      <c r="H26" s="26" t="n"/>
      <c r="I26" s="26" t="n"/>
      <c r="J26" s="26" t="n"/>
      <c r="K26" s="27" t="n"/>
      <c r="L26" s="27" t="n"/>
      <c r="M26" s="27" t="n"/>
      <c r="N26" s="27" t="n"/>
      <c r="O26" s="27" t="n"/>
      <c r="P26" s="26" t="n"/>
      <c r="Q26" s="26" t="n"/>
      <c r="R26" s="26" t="n"/>
      <c r="S26" s="26" t="n"/>
      <c r="T26" s="26" t="n"/>
      <c r="U26" s="26" t="n"/>
      <c r="V26" s="26" t="n"/>
      <c r="W26" s="26" t="n"/>
      <c r="X26" s="27" t="n"/>
      <c r="Y26" s="28">
        <f>IF(COUNTA(E26:J26,P26:W26)=0,"Not started",IF(COUNTA(E26:J26,P26:W26)&lt;14,"Incomplete",IF((AND(F26&lt;&gt;"",F26&amp;""&lt;&gt;"0",TRIM(K26)="")+AND(G26&lt;&gt;"",G26&amp;""&lt;&gt;"0",TRIM(L26)="")+AND(H26&lt;&gt;"",H26&amp;""&lt;&gt;"0",TRIM(M26)="")+AND(I26&lt;&gt;"",I26&amp;""&lt;&gt;"0",TRIM(N26)="")+AND(J26&lt;&gt;"",J26&amp;""&lt;&gt;"0",TRIM(O26)=""))&gt;0,"Add evidence","Complete")))</f>
        <v/>
      </c>
      <c r="Z26" s="24" t="inlineStr">
        <is>
          <t>2230</t>
        </is>
      </c>
      <c r="AA26" s="24" t="inlineStr">
        <is>
          <t>Traditional and Complementary Medicine Professionals</t>
        </is>
      </c>
      <c r="AB26" s="24" t="inlineStr">
        <is>
          <t>223</t>
        </is>
      </c>
      <c r="AC26" s="24" t="inlineStr">
        <is>
          <t>Traditional and Complementary Medicine Professionals</t>
        </is>
      </c>
      <c r="AD26" s="24" t="n">
        <v>2</v>
      </c>
      <c r="AE26" s="24" t="inlineStr">
        <is>
          <t>Professionals</t>
        </is>
      </c>
      <c r="AF26" s="24" t="inlineStr">
        <is>
          <t>4</t>
        </is>
      </c>
      <c r="AG26" s="24" t="inlineStr">
        <is>
          <t>2223.10</t>
        </is>
      </c>
      <c r="AH26" s="24" t="n"/>
      <c r="AI26" s="24" t="n"/>
    </row>
    <row r="27" ht="85.19999999999999" customHeight="1">
      <c r="A27" s="24" t="n">
        <v>25</v>
      </c>
      <c r="B27" s="24" t="inlineStr">
        <is>
          <t>2230.0300</t>
        </is>
      </c>
      <c r="C27" s="24" t="inlineStr">
        <is>
          <t>Physician, Bio-Chemic/Bio Chemist</t>
        </is>
      </c>
      <c r="D27" s="25" t="inlineStr">
        <is>
          <t>Physician, Bio-chemic examines patients to diagnose ailments and prescribes necessary medicines according to bio-chemic system of treatment. Examines patient, records case history and studies symptoms to diagnose deficiency or imbalance of basic salt(s) in patients system. Prescribes bio-chemic medicines along with necessary instructions, regarding diet, physical precautions etc. Keeps case history of patients and treatment prescribed. May consider results of X-ray and pathological examinations for proper diagnosis.</t>
        </is>
      </c>
      <c r="E27" s="26" t="n"/>
      <c r="F27" s="26" t="n"/>
      <c r="G27" s="26" t="n"/>
      <c r="H27" s="26" t="n"/>
      <c r="I27" s="26" t="n"/>
      <c r="J27" s="26" t="n"/>
      <c r="K27" s="27" t="n"/>
      <c r="L27" s="27" t="n"/>
      <c r="M27" s="27" t="n"/>
      <c r="N27" s="27" t="n"/>
      <c r="O27" s="27" t="n"/>
      <c r="P27" s="26" t="n"/>
      <c r="Q27" s="26" t="n"/>
      <c r="R27" s="26" t="n"/>
      <c r="S27" s="26" t="n"/>
      <c r="T27" s="26" t="n"/>
      <c r="U27" s="26" t="n"/>
      <c r="V27" s="26" t="n"/>
      <c r="W27" s="26" t="n"/>
      <c r="X27" s="27" t="n"/>
      <c r="Y27" s="28">
        <f>IF(COUNTA(E27:J27,P27:W27)=0,"Not started",IF(COUNTA(E27:J27,P27:W27)&lt;14,"Incomplete",IF((AND(F27&lt;&gt;"",F27&amp;""&lt;&gt;"0",TRIM(K27)="")+AND(G27&lt;&gt;"",G27&amp;""&lt;&gt;"0",TRIM(L27)="")+AND(H27&lt;&gt;"",H27&amp;""&lt;&gt;"0",TRIM(M27)="")+AND(I27&lt;&gt;"",I27&amp;""&lt;&gt;"0",TRIM(N27)="")+AND(J27&lt;&gt;"",J27&amp;""&lt;&gt;"0",TRIM(O27)=""))&gt;0,"Add evidence","Complete")))</f>
        <v/>
      </c>
      <c r="Z27" s="24" t="inlineStr">
        <is>
          <t>2230</t>
        </is>
      </c>
      <c r="AA27" s="24" t="inlineStr">
        <is>
          <t>Traditional and Complementary Medicine Professionals</t>
        </is>
      </c>
      <c r="AB27" s="24" t="inlineStr">
        <is>
          <t>223</t>
        </is>
      </c>
      <c r="AC27" s="24" t="inlineStr">
        <is>
          <t>Traditional and Complementary Medicine Professionals</t>
        </is>
      </c>
      <c r="AD27" s="24" t="n">
        <v>2</v>
      </c>
      <c r="AE27" s="24" t="inlineStr">
        <is>
          <t>Professionals</t>
        </is>
      </c>
      <c r="AF27" s="24" t="inlineStr">
        <is>
          <t>4</t>
        </is>
      </c>
      <c r="AG27" s="24" t="inlineStr">
        <is>
          <t>2223.20</t>
        </is>
      </c>
      <c r="AH27" s="24" t="n"/>
      <c r="AI27" s="24" t="n"/>
    </row>
    <row r="28" ht="45.59999999999999" customHeight="1">
      <c r="A28" s="24" t="n">
        <v>26</v>
      </c>
      <c r="B28" s="24" t="inlineStr">
        <is>
          <t>2264.0400</t>
        </is>
      </c>
      <c r="C28" s="24" t="inlineStr">
        <is>
          <t>Masseur</t>
        </is>
      </c>
      <c r="D28" s="25" t="inlineStr">
        <is>
          <t>Masseur; Masseuse massages by hand or machine various parts of body to remove stiffness, sprains and pains or to generally to tone up muscles by improving blood circulation or stimulating nervous system.</t>
        </is>
      </c>
      <c r="E28" s="26" t="n"/>
      <c r="F28" s="26" t="n"/>
      <c r="G28" s="26" t="n"/>
      <c r="H28" s="26" t="n"/>
      <c r="I28" s="26" t="n"/>
      <c r="J28" s="26" t="n"/>
      <c r="K28" s="27" t="n"/>
      <c r="L28" s="27" t="n"/>
      <c r="M28" s="27" t="n"/>
      <c r="N28" s="27" t="n"/>
      <c r="O28" s="27" t="n"/>
      <c r="P28" s="26" t="n"/>
      <c r="Q28" s="26" t="n"/>
      <c r="R28" s="26" t="n"/>
      <c r="S28" s="26" t="n"/>
      <c r="T28" s="26" t="n"/>
      <c r="U28" s="26" t="n"/>
      <c r="V28" s="26" t="n"/>
      <c r="W28" s="26" t="n"/>
      <c r="X28" s="27" t="n"/>
      <c r="Y28" s="28">
        <f>IF(COUNTA(E28:J28,P28:W28)=0,"Not started",IF(COUNTA(E28:J28,P28:W28)&lt;14,"Incomplete",IF((AND(F28&lt;&gt;"",F28&amp;""&lt;&gt;"0",TRIM(K28)="")+AND(G28&lt;&gt;"",G28&amp;""&lt;&gt;"0",TRIM(L28)="")+AND(H28&lt;&gt;"",H28&amp;""&lt;&gt;"0",TRIM(M28)="")+AND(I28&lt;&gt;"",I28&amp;""&lt;&gt;"0",TRIM(N28)="")+AND(J28&lt;&gt;"",J28&amp;""&lt;&gt;"0",TRIM(O28)=""))&gt;0,"Add evidence","Complete")))</f>
        <v/>
      </c>
      <c r="Z28" s="24" t="inlineStr">
        <is>
          <t>2264</t>
        </is>
      </c>
      <c r="AA28" s="24" t="inlineStr">
        <is>
          <t>Physiotherapists</t>
        </is>
      </c>
      <c r="AB28" s="24" t="inlineStr">
        <is>
          <t>226</t>
        </is>
      </c>
      <c r="AC28" s="24" t="inlineStr">
        <is>
          <t>Other Health Professionals</t>
        </is>
      </c>
      <c r="AD28" s="24" t="n">
        <v>2</v>
      </c>
      <c r="AE28" s="24" t="inlineStr">
        <is>
          <t>Professionals</t>
        </is>
      </c>
      <c r="AF28" s="24" t="inlineStr">
        <is>
          <t>4</t>
        </is>
      </c>
      <c r="AG28" s="24" t="inlineStr">
        <is>
          <t>3226.40</t>
        </is>
      </c>
      <c r="AH28" s="24" t="n"/>
      <c r="AI28" s="24" t="n"/>
    </row>
    <row r="29" ht="85.19999999999999" customHeight="1">
      <c r="A29" s="24" t="n">
        <v>27</v>
      </c>
      <c r="B29" s="24" t="inlineStr">
        <is>
          <t>2341.0100</t>
        </is>
      </c>
      <c r="C29" s="24" t="inlineStr">
        <is>
          <t>Middle School Teacher</t>
        </is>
      </c>
      <c r="D29" s="25" t="inlineStr">
        <is>
          <t>Middle School Teacher teaches one or more subjects to students of middle school in regional language or English. Teaches students of various standards, allots and corrects homework, conducts test and examinations and decides eligibility for promotion to higher standards, Maintains school registers and records. May collect fees, conduct sports and extra-curricular activities and be in charge of library, canteen, dramatics, etc. Is designated as Senior Basic Teacher if teaching according to basic educational systems</t>
        </is>
      </c>
      <c r="E29" s="26" t="n"/>
      <c r="F29" s="26" t="n"/>
      <c r="G29" s="26" t="n"/>
      <c r="H29" s="26" t="n"/>
      <c r="I29" s="26" t="n"/>
      <c r="J29" s="26" t="n"/>
      <c r="K29" s="27" t="n"/>
      <c r="L29" s="27" t="n"/>
      <c r="M29" s="27" t="n"/>
      <c r="N29" s="27" t="n"/>
      <c r="O29" s="27" t="n"/>
      <c r="P29" s="26" t="n"/>
      <c r="Q29" s="26" t="n"/>
      <c r="R29" s="26" t="n"/>
      <c r="S29" s="26" t="n"/>
      <c r="T29" s="26" t="n"/>
      <c r="U29" s="26" t="n"/>
      <c r="V29" s="26" t="n"/>
      <c r="W29" s="26" t="n"/>
      <c r="X29" s="27" t="n"/>
      <c r="Y29" s="28">
        <f>IF(COUNTA(E29:J29,P29:W29)=0,"Not started",IF(COUNTA(E29:J29,P29:W29)&lt;14,"Incomplete",IF((AND(F29&lt;&gt;"",F29&amp;""&lt;&gt;"0",TRIM(K29)="")+AND(G29&lt;&gt;"",G29&amp;""&lt;&gt;"0",TRIM(L29)="")+AND(H29&lt;&gt;"",H29&amp;""&lt;&gt;"0",TRIM(M29)="")+AND(I29&lt;&gt;"",I29&amp;""&lt;&gt;"0",TRIM(N29)="")+AND(J29&lt;&gt;"",J29&amp;""&lt;&gt;"0",TRIM(O29)=""))&gt;0,"Add evidence","Complete")))</f>
        <v/>
      </c>
      <c r="Z29" s="24" t="inlineStr">
        <is>
          <t>2341</t>
        </is>
      </c>
      <c r="AA29" s="24" t="inlineStr">
        <is>
          <t>Primary School Teachers</t>
        </is>
      </c>
      <c r="AB29" s="24" t="inlineStr">
        <is>
          <t>234</t>
        </is>
      </c>
      <c r="AC29" s="24" t="inlineStr">
        <is>
          <t>Primary School and Early Childhood Teachers</t>
        </is>
      </c>
      <c r="AD29" s="24" t="n">
        <v>2</v>
      </c>
      <c r="AE29" s="24" t="inlineStr">
        <is>
          <t>Professionals</t>
        </is>
      </c>
      <c r="AF29" s="24" t="inlineStr">
        <is>
          <t>4</t>
        </is>
      </c>
      <c r="AG29" s="24" t="inlineStr">
        <is>
          <t>3311.10</t>
        </is>
      </c>
      <c r="AH29" s="24" t="n"/>
      <c r="AI29" s="24" t="n"/>
    </row>
    <row r="30" ht="32.4" customHeight="1">
      <c r="A30" s="24" t="n">
        <v>28</v>
      </c>
      <c r="B30" s="24" t="inlineStr">
        <is>
          <t>2355.9900</t>
        </is>
      </c>
      <c r="C30" s="24" t="inlineStr">
        <is>
          <t>Arts Teacher, Other</t>
        </is>
      </c>
      <c r="D30" s="25" t="inlineStr">
        <is>
          <t>Arts Teacher, Other include all other teachers engaged in teaching of specialized subjects like music, commercial practice, etc., not elsewhere classified.</t>
        </is>
      </c>
      <c r="E30" s="26" t="n"/>
      <c r="F30" s="26" t="n"/>
      <c r="G30" s="26" t="n"/>
      <c r="H30" s="26" t="n"/>
      <c r="I30" s="26" t="n"/>
      <c r="J30" s="26" t="n"/>
      <c r="K30" s="27" t="n"/>
      <c r="L30" s="27" t="n"/>
      <c r="M30" s="27" t="n"/>
      <c r="N30" s="27" t="n"/>
      <c r="O30" s="27" t="n"/>
      <c r="P30" s="26" t="n"/>
      <c r="Q30" s="26" t="n"/>
      <c r="R30" s="26" t="n"/>
      <c r="S30" s="26" t="n"/>
      <c r="T30" s="26" t="n"/>
      <c r="U30" s="26" t="n"/>
      <c r="V30" s="26" t="n"/>
      <c r="W30" s="26" t="n"/>
      <c r="X30" s="27" t="n"/>
      <c r="Y30" s="28">
        <f>IF(COUNTA(E30:J30,P30:W30)=0,"Not started",IF(COUNTA(E30:J30,P30:W30)&lt;14,"Incomplete",IF((AND(F30&lt;&gt;"",F30&amp;""&lt;&gt;"0",TRIM(K30)="")+AND(G30&lt;&gt;"",G30&amp;""&lt;&gt;"0",TRIM(L30)="")+AND(H30&lt;&gt;"",H30&amp;""&lt;&gt;"0",TRIM(M30)="")+AND(I30&lt;&gt;"",I30&amp;""&lt;&gt;"0",TRIM(N30)="")+AND(J30&lt;&gt;"",J30&amp;""&lt;&gt;"0",TRIM(O30)=""))&gt;0,"Add evidence","Complete")))</f>
        <v/>
      </c>
      <c r="Z30" s="24" t="inlineStr">
        <is>
          <t>2355</t>
        </is>
      </c>
      <c r="AA30" s="24" t="inlineStr">
        <is>
          <t>Other Arts Teachers</t>
        </is>
      </c>
      <c r="AB30" s="24" t="inlineStr">
        <is>
          <t>235</t>
        </is>
      </c>
      <c r="AC30" s="24" t="inlineStr">
        <is>
          <t>Other Teaching Professionals</t>
        </is>
      </c>
      <c r="AD30" s="24" t="n">
        <v>2</v>
      </c>
      <c r="AE30" s="24" t="inlineStr">
        <is>
          <t>Professionals</t>
        </is>
      </c>
      <c r="AF30" s="24" t="inlineStr">
        <is>
          <t>4</t>
        </is>
      </c>
      <c r="AG30" s="24" t="inlineStr">
        <is>
          <t>2339.90</t>
        </is>
      </c>
      <c r="AH30" s="24" t="n"/>
      <c r="AI30" s="24" t="n"/>
    </row>
    <row r="31" ht="204" customHeight="1">
      <c r="A31" s="24" t="n">
        <v>29</v>
      </c>
      <c r="B31" s="24" t="inlineStr">
        <is>
          <t>2412.0200</t>
        </is>
      </c>
      <c r="C31" s="24" t="inlineStr">
        <is>
          <t>Financial Analyst</t>
        </is>
      </c>
      <c r="D31" s="25" t="inlineStr">
        <is>
          <t>Financial Analyst conducts quantitative analysis of information affecting investment programmes of public or private institutions. Analyses financial information to produce forecasts of business, industry, and economic conditions for use in making investment decisions. Assemble spreadsheets and draw charts and graphs used to illustrate technical reports, using a computer. Evaluates and compares the relative quality of various securities in a given industry. Interprets data affecting investment programmes, such as price, yield, stability, future trends in investment risks, and economic influences. Maintains knowledge and stays abreast of developments in the fields of industrial technology, business, finance, and economic theory. Monitor fundamental economic, industrial, and corporate developments through the analysis of information obtained from financial publications and services, investment banking firms, government agencies, trade publications, company sources, and personal interviews. Prepare plans of action for investment based on financial analyses. Present oral and written reports on general economic trends, individual corporations, and entire industries. Recommends investments and investment timing to companies, investment firm staff, or the investing public. Collaborates with investment bankers to attract new corporate clients to securities firms.</t>
        </is>
      </c>
      <c r="E31" s="26" t="n"/>
      <c r="F31" s="26" t="n"/>
      <c r="G31" s="26" t="n"/>
      <c r="H31" s="26" t="n"/>
      <c r="I31" s="26" t="n"/>
      <c r="J31" s="26" t="n"/>
      <c r="K31" s="27" t="n"/>
      <c r="L31" s="27" t="n"/>
      <c r="M31" s="27" t="n"/>
      <c r="N31" s="27" t="n"/>
      <c r="O31" s="27" t="n"/>
      <c r="P31" s="26" t="n"/>
      <c r="Q31" s="26" t="n"/>
      <c r="R31" s="26" t="n"/>
      <c r="S31" s="26" t="n"/>
      <c r="T31" s="26" t="n"/>
      <c r="U31" s="26" t="n"/>
      <c r="V31" s="26" t="n"/>
      <c r="W31" s="26" t="n"/>
      <c r="X31" s="27" t="n"/>
      <c r="Y31" s="28">
        <f>IF(COUNTA(E31:J31,P31:W31)=0,"Not started",IF(COUNTA(E31:J31,P31:W31)&lt;14,"Incomplete",IF((AND(F31&lt;&gt;"",F31&amp;""&lt;&gt;"0",TRIM(K31)="")+AND(G31&lt;&gt;"",G31&amp;""&lt;&gt;"0",TRIM(L31)="")+AND(H31&lt;&gt;"",H31&amp;""&lt;&gt;"0",TRIM(M31)="")+AND(I31&lt;&gt;"",I31&amp;""&lt;&gt;"0",TRIM(N31)="")+AND(J31&lt;&gt;"",J31&amp;""&lt;&gt;"0",TRIM(O31)=""))&gt;0,"Add evidence","Complete")))</f>
        <v/>
      </c>
      <c r="Z31" s="24" t="inlineStr">
        <is>
          <t>2412</t>
        </is>
      </c>
      <c r="AA31" s="24" t="inlineStr">
        <is>
          <t>Financial and Investment Advisors</t>
        </is>
      </c>
      <c r="AB31" s="24" t="inlineStr">
        <is>
          <t>241</t>
        </is>
      </c>
      <c r="AC31" s="24" t="inlineStr">
        <is>
          <t>Finance Professionals</t>
        </is>
      </c>
      <c r="AD31" s="24" t="n">
        <v>2</v>
      </c>
      <c r="AE31" s="24" t="inlineStr">
        <is>
          <t>Professionals</t>
        </is>
      </c>
      <c r="AF31" s="24" t="inlineStr">
        <is>
          <t>4</t>
        </is>
      </c>
      <c r="AG31" s="24" t="inlineStr">
        <is>
          <t>2411.50</t>
        </is>
      </c>
      <c r="AH31" s="24" t="n"/>
      <c r="AI31" s="24" t="n"/>
    </row>
    <row r="32" ht="45.59999999999999" customHeight="1">
      <c r="A32" s="24" t="n">
        <v>30</v>
      </c>
      <c r="B32" s="24" t="inlineStr">
        <is>
          <t>2431.0201</t>
        </is>
      </c>
      <c r="C32" s="24" t="inlineStr">
        <is>
          <t>Product Brand Manager (Automotive)</t>
        </is>
      </c>
      <c r="D32" s="25" t="inlineStr">
        <is>
          <t>Product Manager is responsible for implementation of promotional and branding framework of a product and co-ordination with the sales function to ensure effective implementation of the branding strategies</t>
        </is>
      </c>
      <c r="E32" s="26" t="n"/>
      <c r="F32" s="26" t="n"/>
      <c r="G32" s="26" t="n"/>
      <c r="H32" s="26" t="n"/>
      <c r="I32" s="26" t="n"/>
      <c r="J32" s="26" t="n"/>
      <c r="K32" s="27" t="n"/>
      <c r="L32" s="27" t="n"/>
      <c r="M32" s="27" t="n"/>
      <c r="N32" s="27" t="n"/>
      <c r="O32" s="27" t="n"/>
      <c r="P32" s="26" t="n"/>
      <c r="Q32" s="26" t="n"/>
      <c r="R32" s="26" t="n"/>
      <c r="S32" s="26" t="n"/>
      <c r="T32" s="26" t="n"/>
      <c r="U32" s="26" t="n"/>
      <c r="V32" s="26" t="n"/>
      <c r="W32" s="26" t="n"/>
      <c r="X32" s="27" t="n"/>
      <c r="Y32" s="28">
        <f>IF(COUNTA(E32:J32,P32:W32)=0,"Not started",IF(COUNTA(E32:J32,P32:W32)&lt;14,"Incomplete",IF((AND(F32&lt;&gt;"",F32&amp;""&lt;&gt;"0",TRIM(K32)="")+AND(G32&lt;&gt;"",G32&amp;""&lt;&gt;"0",TRIM(L32)="")+AND(H32&lt;&gt;"",H32&amp;""&lt;&gt;"0",TRIM(M32)="")+AND(I32&lt;&gt;"",I32&amp;""&lt;&gt;"0",TRIM(N32)="")+AND(J32&lt;&gt;"",J32&amp;""&lt;&gt;"0",TRIM(O32)=""))&gt;0,"Add evidence","Complete")))</f>
        <v/>
      </c>
      <c r="Z32" s="24" t="inlineStr">
        <is>
          <t>2431</t>
        </is>
      </c>
      <c r="AA32" s="24" t="inlineStr">
        <is>
          <t>Advertising and Marketing Professionals</t>
        </is>
      </c>
      <c r="AB32" s="24" t="inlineStr">
        <is>
          <t>243</t>
        </is>
      </c>
      <c r="AC32" s="24" t="inlineStr">
        <is>
          <t>Sales, Marketing and Public Relations Professionals</t>
        </is>
      </c>
      <c r="AD32" s="24" t="n">
        <v>2</v>
      </c>
      <c r="AE32" s="24" t="inlineStr">
        <is>
          <t>Professionals</t>
        </is>
      </c>
      <c r="AF32" s="24" t="inlineStr">
        <is>
          <t>4</t>
        </is>
      </c>
      <c r="AG32" s="24" t="n"/>
      <c r="AH32" s="24" t="inlineStr">
        <is>
          <t>ASC/Q0503</t>
        </is>
      </c>
      <c r="AI32" s="24" t="n"/>
    </row>
    <row r="33" ht="138" customHeight="1">
      <c r="A33" s="24" t="n">
        <v>31</v>
      </c>
      <c r="B33" s="24" t="inlineStr">
        <is>
          <t>2431.0300</t>
        </is>
      </c>
      <c r="C33" s="24" t="inlineStr">
        <is>
          <t>Caption Writer</t>
        </is>
      </c>
      <c r="D33" s="25" t="inlineStr">
        <is>
          <t>Caption Writer writes caption phrases of dialogue for hearing-impaired and different Indian language-speaking viewers of movie or television productions. Writes captions to describe music and background noises. Watches production and reviews captions simultaneously to determine which caption phrases require editing. Enters commands to synchronize captions with dialogue and place on the screen. Translates different Indian language dialogues into English language captions or English dialogue into different Indian language captions. Operates computerised captioning system for movies or television productions for hearing-impaired and different Indian language speaking viewers. Oversees encoding of captions to master tape of television production. Discusses captions with Directors or Producers of movie and television productions. Edits translations for correctness of grammar, punctuation, and clarity of expression.</t>
        </is>
      </c>
      <c r="E33" s="26" t="n"/>
      <c r="F33" s="26" t="n"/>
      <c r="G33" s="26" t="n"/>
      <c r="H33" s="26" t="n"/>
      <c r="I33" s="26" t="n"/>
      <c r="J33" s="26" t="n"/>
      <c r="K33" s="27" t="n"/>
      <c r="L33" s="27" t="n"/>
      <c r="M33" s="27" t="n"/>
      <c r="N33" s="27" t="n"/>
      <c r="O33" s="27" t="n"/>
      <c r="P33" s="26" t="n"/>
      <c r="Q33" s="26" t="n"/>
      <c r="R33" s="26" t="n"/>
      <c r="S33" s="26" t="n"/>
      <c r="T33" s="26" t="n"/>
      <c r="U33" s="26" t="n"/>
      <c r="V33" s="26" t="n"/>
      <c r="W33" s="26" t="n"/>
      <c r="X33" s="27" t="n"/>
      <c r="Y33" s="28">
        <f>IF(COUNTA(E33:J33,P33:W33)=0,"Not started",IF(COUNTA(E33:J33,P33:W33)&lt;14,"Incomplete",IF((AND(F33&lt;&gt;"",F33&amp;""&lt;&gt;"0",TRIM(K33)="")+AND(G33&lt;&gt;"",G33&amp;""&lt;&gt;"0",TRIM(L33)="")+AND(H33&lt;&gt;"",H33&amp;""&lt;&gt;"0",TRIM(M33)="")+AND(I33&lt;&gt;"",I33&amp;""&lt;&gt;"0",TRIM(N33)="")+AND(J33&lt;&gt;"",J33&amp;""&lt;&gt;"0",TRIM(O33)=""))&gt;0,"Add evidence","Complete")))</f>
        <v/>
      </c>
      <c r="Z33" s="24" t="inlineStr">
        <is>
          <t>2431</t>
        </is>
      </c>
      <c r="AA33" s="24" t="inlineStr">
        <is>
          <t>Advertising and Marketing Professionals</t>
        </is>
      </c>
      <c r="AB33" s="24" t="inlineStr">
        <is>
          <t>243</t>
        </is>
      </c>
      <c r="AC33" s="24" t="inlineStr">
        <is>
          <t>Sales, Marketing and Public Relations Professionals</t>
        </is>
      </c>
      <c r="AD33" s="24" t="n">
        <v>2</v>
      </c>
      <c r="AE33" s="24" t="inlineStr">
        <is>
          <t>Professionals</t>
        </is>
      </c>
      <c r="AF33" s="24" t="inlineStr">
        <is>
          <t>4</t>
        </is>
      </c>
      <c r="AG33" s="24" t="inlineStr">
        <is>
          <t>2451.47</t>
        </is>
      </c>
      <c r="AH33" s="24" t="n"/>
      <c r="AI33" s="24" t="n"/>
    </row>
    <row r="34" ht="45.59999999999999" customHeight="1">
      <c r="A34" s="24" t="n">
        <v>32</v>
      </c>
      <c r="B34" s="24" t="inlineStr">
        <is>
          <t>2431.0504</t>
        </is>
      </c>
      <c r="C34" s="24" t="inlineStr">
        <is>
          <t>Management Trainee-Product Marketing</t>
        </is>
      </c>
      <c r="D34" s="25" t="inlineStr">
        <is>
          <t>Management Trainee supports ongoing market research work such as data gathering, analysis and preparation of documents to gain relevant insights on customer behaviour as well as the competitive landscape.</t>
        </is>
      </c>
      <c r="E34" s="26" t="n"/>
      <c r="F34" s="26" t="n"/>
      <c r="G34" s="26" t="n"/>
      <c r="H34" s="26" t="n"/>
      <c r="I34" s="26" t="n"/>
      <c r="J34" s="26" t="n"/>
      <c r="K34" s="27" t="n"/>
      <c r="L34" s="27" t="n"/>
      <c r="M34" s="27" t="n"/>
      <c r="N34" s="27" t="n"/>
      <c r="O34" s="27" t="n"/>
      <c r="P34" s="26" t="n"/>
      <c r="Q34" s="26" t="n"/>
      <c r="R34" s="26" t="n"/>
      <c r="S34" s="26" t="n"/>
      <c r="T34" s="26" t="n"/>
      <c r="U34" s="26" t="n"/>
      <c r="V34" s="26" t="n"/>
      <c r="W34" s="26" t="n"/>
      <c r="X34" s="27" t="n"/>
      <c r="Y34" s="28">
        <f>IF(COUNTA(E34:J34,P34:W34)=0,"Not started",IF(COUNTA(E34:J34,P34:W34)&lt;14,"Incomplete",IF((AND(F34&lt;&gt;"",F34&amp;""&lt;&gt;"0",TRIM(K34)="")+AND(G34&lt;&gt;"",G34&amp;""&lt;&gt;"0",TRIM(L34)="")+AND(H34&lt;&gt;"",H34&amp;""&lt;&gt;"0",TRIM(M34)="")+AND(I34&lt;&gt;"",I34&amp;""&lt;&gt;"0",TRIM(N34)="")+AND(J34&lt;&gt;"",J34&amp;""&lt;&gt;"0",TRIM(O34)=""))&gt;0,"Add evidence","Complete")))</f>
        <v/>
      </c>
      <c r="Z34" s="24" t="inlineStr">
        <is>
          <t>2431</t>
        </is>
      </c>
      <c r="AA34" s="24" t="inlineStr">
        <is>
          <t>Advertising and Marketing Professionals</t>
        </is>
      </c>
      <c r="AB34" s="24" t="inlineStr">
        <is>
          <t>243</t>
        </is>
      </c>
      <c r="AC34" s="24" t="inlineStr">
        <is>
          <t>Sales, Marketing and Public Relations Professionals</t>
        </is>
      </c>
      <c r="AD34" s="24" t="n">
        <v>2</v>
      </c>
      <c r="AE34" s="24" t="inlineStr">
        <is>
          <t>Professionals</t>
        </is>
      </c>
      <c r="AF34" s="24" t="inlineStr">
        <is>
          <t>4</t>
        </is>
      </c>
      <c r="AG34" s="24" t="n"/>
      <c r="AH34" s="24" t="inlineStr">
        <is>
          <t>SSC/Q4101</t>
        </is>
      </c>
      <c r="AI34" s="24" t="n"/>
    </row>
    <row r="35" ht="32.4" customHeight="1">
      <c r="A35" s="24" t="n">
        <v>33</v>
      </c>
      <c r="B35" s="24" t="inlineStr">
        <is>
          <t>2432.0201</t>
        </is>
      </c>
      <c r="C35" s="24" t="inlineStr">
        <is>
          <t>Digital Marketing/Social Media Manager</t>
        </is>
      </c>
      <c r="D35" s="25" t="inlineStr">
        <is>
          <t>Digital Marketing/Social Media Manager is responsible for designing and supervising implementation of the complete Digital and Social media marketing strategy for the assigned product.</t>
        </is>
      </c>
      <c r="E35" s="26" t="n"/>
      <c r="F35" s="26" t="n"/>
      <c r="G35" s="26" t="n"/>
      <c r="H35" s="26" t="n"/>
      <c r="I35" s="26" t="n"/>
      <c r="J35" s="26" t="n"/>
      <c r="K35" s="27" t="n"/>
      <c r="L35" s="27" t="n"/>
      <c r="M35" s="27" t="n"/>
      <c r="N35" s="27" t="n"/>
      <c r="O35" s="27" t="n"/>
      <c r="P35" s="26" t="n"/>
      <c r="Q35" s="26" t="n"/>
      <c r="R35" s="26" t="n"/>
      <c r="S35" s="26" t="n"/>
      <c r="T35" s="26" t="n"/>
      <c r="U35" s="26" t="n"/>
      <c r="V35" s="26" t="n"/>
      <c r="W35" s="26" t="n"/>
      <c r="X35" s="27" t="n"/>
      <c r="Y35" s="28">
        <f>IF(COUNTA(E35:J35,P35:W35)=0,"Not started",IF(COUNTA(E35:J35,P35:W35)&lt;14,"Incomplete",IF((AND(F35&lt;&gt;"",F35&amp;""&lt;&gt;"0",TRIM(K35)="")+AND(G35&lt;&gt;"",G35&amp;""&lt;&gt;"0",TRIM(L35)="")+AND(H35&lt;&gt;"",H35&amp;""&lt;&gt;"0",TRIM(M35)="")+AND(I35&lt;&gt;"",I35&amp;""&lt;&gt;"0",TRIM(N35)="")+AND(J35&lt;&gt;"",J35&amp;""&lt;&gt;"0",TRIM(O35)=""))&gt;0,"Add evidence","Complete")))</f>
        <v/>
      </c>
      <c r="Z35" s="24" t="inlineStr">
        <is>
          <t>2432</t>
        </is>
      </c>
      <c r="AA35" s="24" t="inlineStr">
        <is>
          <t>Public Relations Professionals</t>
        </is>
      </c>
      <c r="AB35" s="24" t="inlineStr">
        <is>
          <t>243</t>
        </is>
      </c>
      <c r="AC35" s="24" t="inlineStr">
        <is>
          <t>Sales, Marketing and Public Relations Professionals</t>
        </is>
      </c>
      <c r="AD35" s="24" t="n">
        <v>2</v>
      </c>
      <c r="AE35" s="24" t="inlineStr">
        <is>
          <t>Professionals</t>
        </is>
      </c>
      <c r="AF35" s="24" t="inlineStr">
        <is>
          <t>4</t>
        </is>
      </c>
      <c r="AG35" s="24" t="n"/>
      <c r="AH35" s="24" t="inlineStr">
        <is>
          <t>ASC/Q0501</t>
        </is>
      </c>
      <c r="AI35" s="24" t="n"/>
    </row>
    <row r="36" ht="230.4" customHeight="1">
      <c r="A36" s="24" t="n">
        <v>34</v>
      </c>
      <c r="B36" s="24" t="inlineStr">
        <is>
          <t>2511.0100</t>
        </is>
      </c>
      <c r="C36" s="24" t="inlineStr">
        <is>
          <t>System Analysts</t>
        </is>
      </c>
      <c r="D36" s="25" t="inlineStr">
        <is>
          <t>System Analyst analyses user requirements, procedures, and problems to automate processing or to improve existing computer system. Confers with personnel of organizational units involved to analyse current operational procedures, identify problems, and learn specific input and output requirements, such as forms of data input, how data is to be summarised, and formats for reports. Writes detailed description of user needs, programme functions, and steps required to develop or modify computer programme. Reviews computer system capabilities, workflow, and scheduling limitations to determine if requested programme or programme change is possible within existing system. Studies existing information processing systems to evaluate effectiveness and develops new systems to improve production or workflow as required. Prepares workflow charts and diagrams to specify in detail operations to be performed by equipment and computer programmes and operations to be performed by personnel in system. Conducts studies pertaining to development of new information systems to meet current and projected needs. Plans and prepares technical reports, memoranda, and instructional manuals as documentation of programme development. Upgrades system and corrects errors to maintain system after implementation. May assist COMPUTER PROGRAMMER in resolution of work problems related to flow charts, project specifications or programming. May prepare time and cost estimates for completing projects. May direct and co-ordinate work of others to develop, test, install, and modify programs.</t>
        </is>
      </c>
      <c r="E36" s="26" t="n"/>
      <c r="F36" s="26" t="n"/>
      <c r="G36" s="26" t="n"/>
      <c r="H36" s="26" t="n"/>
      <c r="I36" s="26" t="n"/>
      <c r="J36" s="26" t="n"/>
      <c r="K36" s="27" t="n"/>
      <c r="L36" s="27" t="n"/>
      <c r="M36" s="27" t="n"/>
      <c r="N36" s="27" t="n"/>
      <c r="O36" s="27" t="n"/>
      <c r="P36" s="26" t="n"/>
      <c r="Q36" s="26" t="n"/>
      <c r="R36" s="26" t="n"/>
      <c r="S36" s="26" t="n"/>
      <c r="T36" s="26" t="n"/>
      <c r="U36" s="26" t="n"/>
      <c r="V36" s="26" t="n"/>
      <c r="W36" s="26" t="n"/>
      <c r="X36" s="27" t="n"/>
      <c r="Y36" s="28">
        <f>IF(COUNTA(E36:J36,P36:W36)=0,"Not started",IF(COUNTA(E36:J36,P36:W36)&lt;14,"Incomplete",IF((AND(F36&lt;&gt;"",F36&amp;""&lt;&gt;"0",TRIM(K36)="")+AND(G36&lt;&gt;"",G36&amp;""&lt;&gt;"0",TRIM(L36)="")+AND(H36&lt;&gt;"",H36&amp;""&lt;&gt;"0",TRIM(M36)="")+AND(I36&lt;&gt;"",I36&amp;""&lt;&gt;"0",TRIM(N36)="")+AND(J36&lt;&gt;"",J36&amp;""&lt;&gt;"0",TRIM(O36)=""))&gt;0,"Add evidence","Complete")))</f>
        <v/>
      </c>
      <c r="Z36" s="24" t="inlineStr">
        <is>
          <t>2511</t>
        </is>
      </c>
      <c r="AA36" s="24" t="inlineStr">
        <is>
          <t>System Analysts</t>
        </is>
      </c>
      <c r="AB36" s="24" t="inlineStr">
        <is>
          <t>251</t>
        </is>
      </c>
      <c r="AC36" s="24" t="inlineStr">
        <is>
          <t>Software and Application Developers, and Analysts</t>
        </is>
      </c>
      <c r="AD36" s="24" t="n">
        <v>2</v>
      </c>
      <c r="AE36" s="24" t="inlineStr">
        <is>
          <t>Professionals</t>
        </is>
      </c>
      <c r="AF36" s="24" t="inlineStr">
        <is>
          <t>4</t>
        </is>
      </c>
      <c r="AG36" s="24" t="inlineStr">
        <is>
          <t>2131.10</t>
        </is>
      </c>
      <c r="AH36" s="24" t="n"/>
      <c r="AI36" s="24" t="n"/>
    </row>
    <row r="37" ht="32.4" customHeight="1">
      <c r="A37" s="24" t="n">
        <v>35</v>
      </c>
      <c r="B37" s="24" t="inlineStr">
        <is>
          <t>2511.0101</t>
        </is>
      </c>
      <c r="C37" s="24" t="inlineStr">
        <is>
          <t>Deployment Engineer</t>
        </is>
      </c>
      <c r="D37" s="25" t="inlineStr">
        <is>
          <t>Deployment Engineer is responsible for ensuring that software systems are fully deployed, implemented and functioning and are configured with the appropriate hardware requirements.</t>
        </is>
      </c>
      <c r="E37" s="26" t="n"/>
      <c r="F37" s="26" t="n"/>
      <c r="G37" s="26" t="n"/>
      <c r="H37" s="26" t="n"/>
      <c r="I37" s="26" t="n"/>
      <c r="J37" s="26" t="n"/>
      <c r="K37" s="27" t="n"/>
      <c r="L37" s="27" t="n"/>
      <c r="M37" s="27" t="n"/>
      <c r="N37" s="27" t="n"/>
      <c r="O37" s="27" t="n"/>
      <c r="P37" s="26" t="n"/>
      <c r="Q37" s="26" t="n"/>
      <c r="R37" s="26" t="n"/>
      <c r="S37" s="26" t="n"/>
      <c r="T37" s="26" t="n"/>
      <c r="U37" s="26" t="n"/>
      <c r="V37" s="26" t="n"/>
      <c r="W37" s="26" t="n"/>
      <c r="X37" s="27" t="n"/>
      <c r="Y37" s="28">
        <f>IF(COUNTA(E37:J37,P37:W37)=0,"Not started",IF(COUNTA(E37:J37,P37:W37)&lt;14,"Incomplete",IF((AND(F37&lt;&gt;"",F37&amp;""&lt;&gt;"0",TRIM(K37)="")+AND(G37&lt;&gt;"",G37&amp;""&lt;&gt;"0",TRIM(L37)="")+AND(H37&lt;&gt;"",H37&amp;""&lt;&gt;"0",TRIM(M37)="")+AND(I37&lt;&gt;"",I37&amp;""&lt;&gt;"0",TRIM(N37)="")+AND(J37&lt;&gt;"",J37&amp;""&lt;&gt;"0",TRIM(O37)=""))&gt;0,"Add evidence","Complete")))</f>
        <v/>
      </c>
      <c r="Z37" s="24" t="inlineStr">
        <is>
          <t>2511</t>
        </is>
      </c>
      <c r="AA37" s="24" t="inlineStr">
        <is>
          <t>System Analysts</t>
        </is>
      </c>
      <c r="AB37" s="24" t="inlineStr">
        <is>
          <t>251</t>
        </is>
      </c>
      <c r="AC37" s="24" t="inlineStr">
        <is>
          <t>Software and Application Developers, and Analysts</t>
        </is>
      </c>
      <c r="AD37" s="24" t="n">
        <v>2</v>
      </c>
      <c r="AE37" s="24" t="inlineStr">
        <is>
          <t>Professionals</t>
        </is>
      </c>
      <c r="AF37" s="24" t="inlineStr">
        <is>
          <t>4</t>
        </is>
      </c>
      <c r="AG37" s="24" t="n"/>
      <c r="AH37" s="24" t="inlineStr">
        <is>
          <t>SSC/Q0301</t>
        </is>
      </c>
      <c r="AI37" s="24" t="n"/>
    </row>
    <row r="38" ht="32.4" customHeight="1">
      <c r="A38" s="24" t="n">
        <v>36</v>
      </c>
      <c r="B38" s="24" t="inlineStr">
        <is>
          <t>2511.0103</t>
        </is>
      </c>
      <c r="C38" s="24" t="inlineStr">
        <is>
          <t>Engineer-Packaging</t>
        </is>
      </c>
      <c r="D38" s="25" t="inlineStr">
        <is>
          <t>Engineer-Packaging is responsible for creating a new, company-specific or industry vertical-specific image of a software product before releasing it.</t>
        </is>
      </c>
      <c r="E38" s="26" t="n"/>
      <c r="F38" s="26" t="n"/>
      <c r="G38" s="26" t="n"/>
      <c r="H38" s="26" t="n"/>
      <c r="I38" s="26" t="n"/>
      <c r="J38" s="26" t="n"/>
      <c r="K38" s="27" t="n"/>
      <c r="L38" s="27" t="n"/>
      <c r="M38" s="27" t="n"/>
      <c r="N38" s="27" t="n"/>
      <c r="O38" s="27" t="n"/>
      <c r="P38" s="26" t="n"/>
      <c r="Q38" s="26" t="n"/>
      <c r="R38" s="26" t="n"/>
      <c r="S38" s="26" t="n"/>
      <c r="T38" s="26" t="n"/>
      <c r="U38" s="26" t="n"/>
      <c r="V38" s="26" t="n"/>
      <c r="W38" s="26" t="n"/>
      <c r="X38" s="27" t="n"/>
      <c r="Y38" s="28">
        <f>IF(COUNTA(E38:J38,P38:W38)=0,"Not started",IF(COUNTA(E38:J38,P38:W38)&lt;14,"Incomplete",IF((AND(F38&lt;&gt;"",F38&amp;""&lt;&gt;"0",TRIM(K38)="")+AND(G38&lt;&gt;"",G38&amp;""&lt;&gt;"0",TRIM(L38)="")+AND(H38&lt;&gt;"",H38&amp;""&lt;&gt;"0",TRIM(M38)="")+AND(I38&lt;&gt;"",I38&amp;""&lt;&gt;"0",TRIM(N38)="")+AND(J38&lt;&gt;"",J38&amp;""&lt;&gt;"0",TRIM(O38)=""))&gt;0,"Add evidence","Complete")))</f>
        <v/>
      </c>
      <c r="Z38" s="24" t="inlineStr">
        <is>
          <t>2511</t>
        </is>
      </c>
      <c r="AA38" s="24" t="inlineStr">
        <is>
          <t>System Analysts</t>
        </is>
      </c>
      <c r="AB38" s="24" t="inlineStr">
        <is>
          <t>251</t>
        </is>
      </c>
      <c r="AC38" s="24" t="inlineStr">
        <is>
          <t>Software and Application Developers, and Analysts</t>
        </is>
      </c>
      <c r="AD38" s="24" t="n">
        <v>2</v>
      </c>
      <c r="AE38" s="24" t="inlineStr">
        <is>
          <t>Professionals</t>
        </is>
      </c>
      <c r="AF38" s="24" t="inlineStr">
        <is>
          <t>4</t>
        </is>
      </c>
      <c r="AG38" s="24" t="n"/>
      <c r="AH38" s="24" t="inlineStr">
        <is>
          <t>SSC/Q6901</t>
        </is>
      </c>
      <c r="AI38" s="24" t="n"/>
    </row>
    <row r="39" ht="58.8" customHeight="1">
      <c r="A39" s="24" t="n">
        <v>37</v>
      </c>
      <c r="B39" s="24" t="inlineStr">
        <is>
          <t>2511.0106</t>
        </is>
      </c>
      <c r="C39" s="24" t="inlineStr">
        <is>
          <t>Support Engineer</t>
        </is>
      </c>
      <c r="D39" s="25" t="inlineStr">
        <is>
          <t>Support Engineer is responsible for planning and managing project related activities for the integration of new hardware and software to the client site as well as migration to the desired platform. Deployment involves ensuring that hardware and software systems are fully deployed, implemented and functioning.</t>
        </is>
      </c>
      <c r="E39" s="26" t="n"/>
      <c r="F39" s="26" t="n"/>
      <c r="G39" s="26" t="n"/>
      <c r="H39" s="26" t="n"/>
      <c r="I39" s="26" t="n"/>
      <c r="J39" s="26" t="n"/>
      <c r="K39" s="27" t="n"/>
      <c r="L39" s="27" t="n"/>
      <c r="M39" s="27" t="n"/>
      <c r="N39" s="27" t="n"/>
      <c r="O39" s="27" t="n"/>
      <c r="P39" s="26" t="n"/>
      <c r="Q39" s="26" t="n"/>
      <c r="R39" s="26" t="n"/>
      <c r="S39" s="26" t="n"/>
      <c r="T39" s="26" t="n"/>
      <c r="U39" s="26" t="n"/>
      <c r="V39" s="26" t="n"/>
      <c r="W39" s="26" t="n"/>
      <c r="X39" s="27" t="n"/>
      <c r="Y39" s="28">
        <f>IF(COUNTA(E39:J39,P39:W39)=0,"Not started",IF(COUNTA(E39:J39,P39:W39)&lt;14,"Incomplete",IF((AND(F39&lt;&gt;"",F39&amp;""&lt;&gt;"0",TRIM(K39)="")+AND(G39&lt;&gt;"",G39&amp;""&lt;&gt;"0",TRIM(L39)="")+AND(H39&lt;&gt;"",H39&amp;""&lt;&gt;"0",TRIM(M39)="")+AND(I39&lt;&gt;"",I39&amp;""&lt;&gt;"0",TRIM(N39)="")+AND(J39&lt;&gt;"",J39&amp;""&lt;&gt;"0",TRIM(O39)=""))&gt;0,"Add evidence","Complete")))</f>
        <v/>
      </c>
      <c r="Z39" s="24" t="inlineStr">
        <is>
          <t>2511</t>
        </is>
      </c>
      <c r="AA39" s="24" t="inlineStr">
        <is>
          <t>System Analysts</t>
        </is>
      </c>
      <c r="AB39" s="24" t="inlineStr">
        <is>
          <t>251</t>
        </is>
      </c>
      <c r="AC39" s="24" t="inlineStr">
        <is>
          <t>Software and Application Developers, and Analysts</t>
        </is>
      </c>
      <c r="AD39" s="24" t="n">
        <v>2</v>
      </c>
      <c r="AE39" s="24" t="inlineStr">
        <is>
          <t>Professionals</t>
        </is>
      </c>
      <c r="AF39" s="24" t="inlineStr">
        <is>
          <t>4</t>
        </is>
      </c>
      <c r="AG39" s="24" t="n"/>
      <c r="AH39" s="24" t="inlineStr">
        <is>
          <t>SSC/Q6101</t>
        </is>
      </c>
      <c r="AI39" s="24" t="n"/>
    </row>
    <row r="40" ht="45.59999999999999" customHeight="1">
      <c r="A40" s="24" t="n">
        <v>38</v>
      </c>
      <c r="B40" s="24" t="inlineStr">
        <is>
          <t>2511.9900</t>
        </is>
      </c>
      <c r="C40" s="24" t="inlineStr">
        <is>
          <t>System Analysts, Other</t>
        </is>
      </c>
      <c r="D40" s="25" t="inlineStr">
        <is>
          <t>Computer System Designers and Analysts, Other, Computer System Designers and Analysts’ conducts research, improve or develop computing concepts and advise on or engage in their practical application and all other Computer System Designers and Analysts not elsewhere classified.</t>
        </is>
      </c>
      <c r="E40" s="26" t="n"/>
      <c r="F40" s="26" t="n"/>
      <c r="G40" s="26" t="n"/>
      <c r="H40" s="26" t="n"/>
      <c r="I40" s="26" t="n"/>
      <c r="J40" s="26" t="n"/>
      <c r="K40" s="27" t="n"/>
      <c r="L40" s="27" t="n"/>
      <c r="M40" s="27" t="n"/>
      <c r="N40" s="27" t="n"/>
      <c r="O40" s="27" t="n"/>
      <c r="P40" s="26" t="n"/>
      <c r="Q40" s="26" t="n"/>
      <c r="R40" s="26" t="n"/>
      <c r="S40" s="26" t="n"/>
      <c r="T40" s="26" t="n"/>
      <c r="U40" s="26" t="n"/>
      <c r="V40" s="26" t="n"/>
      <c r="W40" s="26" t="n"/>
      <c r="X40" s="27" t="n"/>
      <c r="Y40" s="28">
        <f>IF(COUNTA(E40:J40,P40:W40)=0,"Not started",IF(COUNTA(E40:J40,P40:W40)&lt;14,"Incomplete",IF((AND(F40&lt;&gt;"",F40&amp;""&lt;&gt;"0",TRIM(K40)="")+AND(G40&lt;&gt;"",G40&amp;""&lt;&gt;"0",TRIM(L40)="")+AND(H40&lt;&gt;"",H40&amp;""&lt;&gt;"0",TRIM(M40)="")+AND(I40&lt;&gt;"",I40&amp;""&lt;&gt;"0",TRIM(N40)="")+AND(J40&lt;&gt;"",J40&amp;""&lt;&gt;"0",TRIM(O40)=""))&gt;0,"Add evidence","Complete")))</f>
        <v/>
      </c>
      <c r="Z40" s="24" t="inlineStr">
        <is>
          <t>2511</t>
        </is>
      </c>
      <c r="AA40" s="24" t="inlineStr">
        <is>
          <t>System Analysts</t>
        </is>
      </c>
      <c r="AB40" s="24" t="inlineStr">
        <is>
          <t>251</t>
        </is>
      </c>
      <c r="AC40" s="24" t="inlineStr">
        <is>
          <t>Software and Application Developers, and Analysts</t>
        </is>
      </c>
      <c r="AD40" s="24" t="n">
        <v>2</v>
      </c>
      <c r="AE40" s="24" t="inlineStr">
        <is>
          <t>Professionals</t>
        </is>
      </c>
      <c r="AF40" s="24" t="inlineStr">
        <is>
          <t>4</t>
        </is>
      </c>
      <c r="AG40" s="24" t="inlineStr">
        <is>
          <t>2131.90</t>
        </is>
      </c>
      <c r="AH40" s="24" t="n"/>
      <c r="AI40" s="24" t="n"/>
    </row>
    <row r="41" ht="45.59999999999999" customHeight="1">
      <c r="A41" s="24" t="n">
        <v>39</v>
      </c>
      <c r="B41" s="24" t="inlineStr">
        <is>
          <t>2512.0202</t>
        </is>
      </c>
      <c r="C41" s="24" t="inlineStr">
        <is>
          <t>Test Engineer-Software</t>
        </is>
      </c>
      <c r="D41" s="25" t="inlineStr">
        <is>
          <t>Test Engineer-Software is responsible for ensuring the software product meets the specified requirements and produces the desired results. These individuals perform tests, develop and execute test plans and report and rectify defects to ensure that quality outputs are generated.</t>
        </is>
      </c>
      <c r="E41" s="26" t="n"/>
      <c r="F41" s="26" t="n"/>
      <c r="G41" s="26" t="n"/>
      <c r="H41" s="26" t="n"/>
      <c r="I41" s="26" t="n"/>
      <c r="J41" s="26" t="n"/>
      <c r="K41" s="27" t="n"/>
      <c r="L41" s="27" t="n"/>
      <c r="M41" s="27" t="n"/>
      <c r="N41" s="27" t="n"/>
      <c r="O41" s="27" t="n"/>
      <c r="P41" s="26" t="n"/>
      <c r="Q41" s="26" t="n"/>
      <c r="R41" s="26" t="n"/>
      <c r="S41" s="26" t="n"/>
      <c r="T41" s="26" t="n"/>
      <c r="U41" s="26" t="n"/>
      <c r="V41" s="26" t="n"/>
      <c r="W41" s="26" t="n"/>
      <c r="X41" s="27" t="n"/>
      <c r="Y41" s="28">
        <f>IF(COUNTA(E41:J41,P41:W41)=0,"Not started",IF(COUNTA(E41:J41,P41:W41)&lt;14,"Incomplete",IF((AND(F41&lt;&gt;"",F41&amp;""&lt;&gt;"0",TRIM(K41)="")+AND(G41&lt;&gt;"",G41&amp;""&lt;&gt;"0",TRIM(L41)="")+AND(H41&lt;&gt;"",H41&amp;""&lt;&gt;"0",TRIM(M41)="")+AND(I41&lt;&gt;"",I41&amp;""&lt;&gt;"0",TRIM(N41)="")+AND(J41&lt;&gt;"",J41&amp;""&lt;&gt;"0",TRIM(O41)=""))&gt;0,"Add evidence","Complete")))</f>
        <v/>
      </c>
      <c r="Z41" s="24" t="inlineStr">
        <is>
          <t>2512</t>
        </is>
      </c>
      <c r="AA41" s="24" t="inlineStr">
        <is>
          <t>Software Developers</t>
        </is>
      </c>
      <c r="AB41" s="24" t="inlineStr">
        <is>
          <t>251</t>
        </is>
      </c>
      <c r="AC41" s="24" t="inlineStr">
        <is>
          <t>Software and Application Developers, and Analysts</t>
        </is>
      </c>
      <c r="AD41" s="24" t="n">
        <v>2</v>
      </c>
      <c r="AE41" s="24" t="inlineStr">
        <is>
          <t>Professionals</t>
        </is>
      </c>
      <c r="AF41" s="24" t="inlineStr">
        <is>
          <t>4</t>
        </is>
      </c>
      <c r="AG41" s="24" t="n"/>
      <c r="AH41" s="24" t="inlineStr">
        <is>
          <t>SSC/Q4901</t>
        </is>
      </c>
      <c r="AI41" s="24" t="n"/>
    </row>
    <row r="42" ht="45.59999999999999" customHeight="1">
      <c r="A42" s="24" t="n">
        <v>40</v>
      </c>
      <c r="B42" s="24" t="inlineStr">
        <is>
          <t>2512.0203</t>
        </is>
      </c>
      <c r="C42" s="24" t="inlineStr">
        <is>
          <t>Design Engineer (Product Engineer)</t>
        </is>
      </c>
      <c r="D42" s="25" t="inlineStr">
        <is>
          <t>Design Engineer is responsible for conceptualizing and developing a product based on customer/market needs. Involvement is in all aspects of software development including requirement analysis, design, implementation and testing.</t>
        </is>
      </c>
      <c r="E42" s="26" t="n"/>
      <c r="F42" s="26" t="n"/>
      <c r="G42" s="26" t="n"/>
      <c r="H42" s="26" t="n"/>
      <c r="I42" s="26" t="n"/>
      <c r="J42" s="26" t="n"/>
      <c r="K42" s="27" t="n"/>
      <c r="L42" s="27" t="n"/>
      <c r="M42" s="27" t="n"/>
      <c r="N42" s="27" t="n"/>
      <c r="O42" s="27" t="n"/>
      <c r="P42" s="26" t="n"/>
      <c r="Q42" s="26" t="n"/>
      <c r="R42" s="26" t="n"/>
      <c r="S42" s="26" t="n"/>
      <c r="T42" s="26" t="n"/>
      <c r="U42" s="26" t="n"/>
      <c r="V42" s="26" t="n"/>
      <c r="W42" s="26" t="n"/>
      <c r="X42" s="27" t="n"/>
      <c r="Y42" s="28">
        <f>IF(COUNTA(E42:J42,P42:W42)=0,"Not started",IF(COUNTA(E42:J42,P42:W42)&lt;14,"Incomplete",IF((AND(F42&lt;&gt;"",F42&amp;""&lt;&gt;"0",TRIM(K42)="")+AND(G42&lt;&gt;"",G42&amp;""&lt;&gt;"0",TRIM(L42)="")+AND(H42&lt;&gt;"",H42&amp;""&lt;&gt;"0",TRIM(M42)="")+AND(I42&lt;&gt;"",I42&amp;""&lt;&gt;"0",TRIM(N42)="")+AND(J42&lt;&gt;"",J42&amp;""&lt;&gt;"0",TRIM(O42)=""))&gt;0,"Add evidence","Complete")))</f>
        <v/>
      </c>
      <c r="Z42" s="24" t="inlineStr">
        <is>
          <t>2512</t>
        </is>
      </c>
      <c r="AA42" s="24" t="inlineStr">
        <is>
          <t>Software Developers</t>
        </is>
      </c>
      <c r="AB42" s="24" t="inlineStr">
        <is>
          <t>251</t>
        </is>
      </c>
      <c r="AC42" s="24" t="inlineStr">
        <is>
          <t>Software and Application Developers, and Analysts</t>
        </is>
      </c>
      <c r="AD42" s="24" t="n">
        <v>2</v>
      </c>
      <c r="AE42" s="24" t="inlineStr">
        <is>
          <t>Professionals</t>
        </is>
      </c>
      <c r="AF42" s="24" t="inlineStr">
        <is>
          <t>4</t>
        </is>
      </c>
      <c r="AG42" s="24" t="n"/>
      <c r="AH42" s="24" t="inlineStr">
        <is>
          <t>SSC/Q6601</t>
        </is>
      </c>
      <c r="AI42" s="24" t="n"/>
    </row>
    <row r="43" ht="32.4" customHeight="1">
      <c r="A43" s="24" t="n">
        <v>41</v>
      </c>
      <c r="B43" s="24" t="inlineStr">
        <is>
          <t>2512.0207</t>
        </is>
      </c>
      <c r="C43" s="24" t="inlineStr">
        <is>
          <t>Engineer Trainee-Engineering Analysis</t>
        </is>
      </c>
      <c r="D43" s="25" t="inlineStr">
        <is>
          <t>Engineer Trainee supports engineering analysis activities such as engineering analysis, hardware and software development, research, testing etc.</t>
        </is>
      </c>
      <c r="E43" s="26" t="n"/>
      <c r="F43" s="26" t="n"/>
      <c r="G43" s="26" t="n"/>
      <c r="H43" s="26" t="n"/>
      <c r="I43" s="26" t="n"/>
      <c r="J43" s="26" t="n"/>
      <c r="K43" s="27" t="n"/>
      <c r="L43" s="27" t="n"/>
      <c r="M43" s="27" t="n"/>
      <c r="N43" s="27" t="n"/>
      <c r="O43" s="27" t="n"/>
      <c r="P43" s="26" t="n"/>
      <c r="Q43" s="26" t="n"/>
      <c r="R43" s="26" t="n"/>
      <c r="S43" s="26" t="n"/>
      <c r="T43" s="26" t="n"/>
      <c r="U43" s="26" t="n"/>
      <c r="V43" s="26" t="n"/>
      <c r="W43" s="26" t="n"/>
      <c r="X43" s="27" t="n"/>
      <c r="Y43" s="28">
        <f>IF(COUNTA(E43:J43,P43:W43)=0,"Not started",IF(COUNTA(E43:J43,P43:W43)&lt;14,"Incomplete",IF((AND(F43&lt;&gt;"",F43&amp;""&lt;&gt;"0",TRIM(K43)="")+AND(G43&lt;&gt;"",G43&amp;""&lt;&gt;"0",TRIM(L43)="")+AND(H43&lt;&gt;"",H43&amp;""&lt;&gt;"0",TRIM(M43)="")+AND(I43&lt;&gt;"",I43&amp;""&lt;&gt;"0",TRIM(N43)="")+AND(J43&lt;&gt;"",J43&amp;""&lt;&gt;"0",TRIM(O43)=""))&gt;0,"Add evidence","Complete")))</f>
        <v/>
      </c>
      <c r="Z43" s="24" t="inlineStr">
        <is>
          <t>2512</t>
        </is>
      </c>
      <c r="AA43" s="24" t="inlineStr">
        <is>
          <t>Software Developers</t>
        </is>
      </c>
      <c r="AB43" s="24" t="inlineStr">
        <is>
          <t>251</t>
        </is>
      </c>
      <c r="AC43" s="24" t="inlineStr">
        <is>
          <t>Software and Application Developers, and Analysts</t>
        </is>
      </c>
      <c r="AD43" s="24" t="n">
        <v>2</v>
      </c>
      <c r="AE43" s="24" t="inlineStr">
        <is>
          <t>Professionals</t>
        </is>
      </c>
      <c r="AF43" s="24" t="inlineStr">
        <is>
          <t>4</t>
        </is>
      </c>
      <c r="AG43" s="24" t="n"/>
      <c r="AH43" s="24" t="inlineStr">
        <is>
          <t>SSC/Q4202</t>
        </is>
      </c>
      <c r="AI43" s="24" t="n"/>
    </row>
    <row r="44" ht="45.59999999999999" customHeight="1">
      <c r="A44" s="24" t="n">
        <v>42</v>
      </c>
      <c r="B44" s="24" t="inlineStr">
        <is>
          <t>2512.0701</t>
        </is>
      </c>
      <c r="C44" s="24" t="inlineStr">
        <is>
          <t>Application Maintenance Engineer</t>
        </is>
      </c>
      <c r="D44" s="25" t="inlineStr">
        <is>
          <t>Application Maintenance Engineer is responsible for ensuring the availability of an application or product for end users. Such roles provide on-going/ad-hoc support for software products or customized applications aimed towards correction of faults/bugs or improvement of performance</t>
        </is>
      </c>
      <c r="E44" s="26" t="n"/>
      <c r="F44" s="26" t="n"/>
      <c r="G44" s="26" t="n"/>
      <c r="H44" s="26" t="n"/>
      <c r="I44" s="26" t="n"/>
      <c r="J44" s="26" t="n"/>
      <c r="K44" s="27" t="n"/>
      <c r="L44" s="27" t="n"/>
      <c r="M44" s="27" t="n"/>
      <c r="N44" s="27" t="n"/>
      <c r="O44" s="27" t="n"/>
      <c r="P44" s="26" t="n"/>
      <c r="Q44" s="26" t="n"/>
      <c r="R44" s="26" t="n"/>
      <c r="S44" s="26" t="n"/>
      <c r="T44" s="26" t="n"/>
      <c r="U44" s="26" t="n"/>
      <c r="V44" s="26" t="n"/>
      <c r="W44" s="26" t="n"/>
      <c r="X44" s="27" t="n"/>
      <c r="Y44" s="28">
        <f>IF(COUNTA(E44:J44,P44:W44)=0,"Not started",IF(COUNTA(E44:J44,P44:W44)&lt;14,"Incomplete",IF((AND(F44&lt;&gt;"",F44&amp;""&lt;&gt;"0",TRIM(K44)="")+AND(G44&lt;&gt;"",G44&amp;""&lt;&gt;"0",TRIM(L44)="")+AND(H44&lt;&gt;"",H44&amp;""&lt;&gt;"0",TRIM(M44)="")+AND(I44&lt;&gt;"",I44&amp;""&lt;&gt;"0",TRIM(N44)="")+AND(J44&lt;&gt;"",J44&amp;""&lt;&gt;"0",TRIM(O44)=""))&gt;0,"Add evidence","Complete")))</f>
        <v/>
      </c>
      <c r="Z44" s="24" t="inlineStr">
        <is>
          <t>2512</t>
        </is>
      </c>
      <c r="AA44" s="24" t="inlineStr">
        <is>
          <t>Software Developers</t>
        </is>
      </c>
      <c r="AB44" s="24" t="inlineStr">
        <is>
          <t>251</t>
        </is>
      </c>
      <c r="AC44" s="24" t="inlineStr">
        <is>
          <t>Software and Application Developers, and Analysts</t>
        </is>
      </c>
      <c r="AD44" s="24" t="n">
        <v>2</v>
      </c>
      <c r="AE44" s="24" t="inlineStr">
        <is>
          <t>Professionals</t>
        </is>
      </c>
      <c r="AF44" s="24" t="inlineStr">
        <is>
          <t>4</t>
        </is>
      </c>
      <c r="AG44" s="24" t="n"/>
      <c r="AH44" s="24" t="inlineStr">
        <is>
          <t>SSC/Q0201</t>
        </is>
      </c>
      <c r="AI44" s="24" t="n"/>
    </row>
    <row r="45" ht="151.2" customHeight="1">
      <c r="A45" s="24" t="n">
        <v>43</v>
      </c>
      <c r="B45" s="24" t="inlineStr">
        <is>
          <t>2512.0800</t>
        </is>
      </c>
      <c r="C45" s="24" t="inlineStr">
        <is>
          <t>Programmer, Engineering and Scientific/System Programmer</t>
        </is>
      </c>
      <c r="D45" s="25" t="inlineStr">
        <is>
          <t>Programmer, Engineering and Scientific converts scientific, engineering, and other technical problem formulations to format that can be processed by a computer: Resolves symbolic formulations, prepares flow charts and block diagrams, and encodes resultant equations for processing by applying extensive knowledge of branch of science, engineering, or advanced mathematics, such as differential equations or numerical analysis, and understanding of capabilities and limitations of computer. Confers with other engineering and technical personnel to resolve problems of intent, inaccuracy, or feasibility of computer processing. Enters the program into a computer system. Reviews results of computer runs with the concerned personnel to determine necessity for modifications or reruns. Develops new subroutines or expands program to simplify statement, programming, or coding of future problems. May direct and co-ordinate activities of COMPUTER PROGRAMMERS working as part of the project team.</t>
        </is>
      </c>
      <c r="E45" s="26" t="n"/>
      <c r="F45" s="26" t="n"/>
      <c r="G45" s="26" t="n"/>
      <c r="H45" s="26" t="n"/>
      <c r="I45" s="26" t="n"/>
      <c r="J45" s="26" t="n"/>
      <c r="K45" s="27" t="n"/>
      <c r="L45" s="27" t="n"/>
      <c r="M45" s="27" t="n"/>
      <c r="N45" s="27" t="n"/>
      <c r="O45" s="27" t="n"/>
      <c r="P45" s="26" t="n"/>
      <c r="Q45" s="26" t="n"/>
      <c r="R45" s="26" t="n"/>
      <c r="S45" s="26" t="n"/>
      <c r="T45" s="26" t="n"/>
      <c r="U45" s="26" t="n"/>
      <c r="V45" s="26" t="n"/>
      <c r="W45" s="26" t="n"/>
      <c r="X45" s="27" t="n"/>
      <c r="Y45" s="28">
        <f>IF(COUNTA(E45:J45,P45:W45)=0,"Not started",IF(COUNTA(E45:J45,P45:W45)&lt;14,"Incomplete",IF((AND(F45&lt;&gt;"",F45&amp;""&lt;&gt;"0",TRIM(K45)="")+AND(G45&lt;&gt;"",G45&amp;""&lt;&gt;"0",TRIM(L45)="")+AND(H45&lt;&gt;"",H45&amp;""&lt;&gt;"0",TRIM(M45)="")+AND(I45&lt;&gt;"",I45&amp;""&lt;&gt;"0",TRIM(N45)="")+AND(J45&lt;&gt;"",J45&amp;""&lt;&gt;"0",TRIM(O45)=""))&gt;0,"Add evidence","Complete")))</f>
        <v/>
      </c>
      <c r="Z45" s="24" t="inlineStr">
        <is>
          <t>2512</t>
        </is>
      </c>
      <c r="AA45" s="24" t="inlineStr">
        <is>
          <t>Software Developers</t>
        </is>
      </c>
      <c r="AB45" s="24" t="inlineStr">
        <is>
          <t>251</t>
        </is>
      </c>
      <c r="AC45" s="24" t="inlineStr">
        <is>
          <t>Software and Application Developers, and Analysts</t>
        </is>
      </c>
      <c r="AD45" s="24" t="n">
        <v>2</v>
      </c>
      <c r="AE45" s="24" t="inlineStr">
        <is>
          <t>Professionals</t>
        </is>
      </c>
      <c r="AF45" s="24" t="inlineStr">
        <is>
          <t>4</t>
        </is>
      </c>
      <c r="AG45" s="24" t="inlineStr">
        <is>
          <t>2132.40</t>
        </is>
      </c>
      <c r="AH45" s="24" t="n"/>
      <c r="AI45" s="24" t="n"/>
    </row>
    <row r="46" ht="58.8" customHeight="1">
      <c r="A46" s="24" t="n">
        <v>44</v>
      </c>
      <c r="B46" s="24" t="inlineStr">
        <is>
          <t>2513.0101</t>
        </is>
      </c>
      <c r="C46" s="24" t="inlineStr">
        <is>
          <t>Web Developer</t>
        </is>
      </c>
      <c r="D46" s="25" t="inlineStr">
        <is>
          <t>Web Developer is responsible for designing and maintaining web-based applications that include static and dynamic content. This includes the design, layout and coding of a website. They may work standalone or along with application/functional developers as part of the overall solution that includes a web based component.</t>
        </is>
      </c>
      <c r="E46" s="26" t="n"/>
      <c r="F46" s="26" t="n"/>
      <c r="G46" s="26" t="n"/>
      <c r="H46" s="26" t="n"/>
      <c r="I46" s="26" t="n"/>
      <c r="J46" s="26" t="n"/>
      <c r="K46" s="27" t="n"/>
      <c r="L46" s="27" t="n"/>
      <c r="M46" s="27" t="n"/>
      <c r="N46" s="27" t="n"/>
      <c r="O46" s="27" t="n"/>
      <c r="P46" s="26" t="n"/>
      <c r="Q46" s="26" t="n"/>
      <c r="R46" s="26" t="n"/>
      <c r="S46" s="26" t="n"/>
      <c r="T46" s="26" t="n"/>
      <c r="U46" s="26" t="n"/>
      <c r="V46" s="26" t="n"/>
      <c r="W46" s="26" t="n"/>
      <c r="X46" s="27" t="n"/>
      <c r="Y46" s="28">
        <f>IF(COUNTA(E46:J46,P46:W46)=0,"Not started",IF(COUNTA(E46:J46,P46:W46)&lt;14,"Incomplete",IF((AND(F46&lt;&gt;"",F46&amp;""&lt;&gt;"0",TRIM(K46)="")+AND(G46&lt;&gt;"",G46&amp;""&lt;&gt;"0",TRIM(L46)="")+AND(H46&lt;&gt;"",H46&amp;""&lt;&gt;"0",TRIM(M46)="")+AND(I46&lt;&gt;"",I46&amp;""&lt;&gt;"0",TRIM(N46)="")+AND(J46&lt;&gt;"",J46&amp;""&lt;&gt;"0",TRIM(O46)=""))&gt;0,"Add evidence","Complete")))</f>
        <v/>
      </c>
      <c r="Z46" s="24" t="inlineStr">
        <is>
          <t>2513</t>
        </is>
      </c>
      <c r="AA46" s="24" t="inlineStr">
        <is>
          <t>Web and Multimedia Developers</t>
        </is>
      </c>
      <c r="AB46" s="24" t="inlineStr">
        <is>
          <t>251</t>
        </is>
      </c>
      <c r="AC46" s="24" t="inlineStr">
        <is>
          <t>Software and Application Developers, and Analysts</t>
        </is>
      </c>
      <c r="AD46" s="24" t="n">
        <v>2</v>
      </c>
      <c r="AE46" s="24" t="inlineStr">
        <is>
          <t>Professionals</t>
        </is>
      </c>
      <c r="AF46" s="24" t="inlineStr">
        <is>
          <t>4</t>
        </is>
      </c>
      <c r="AG46" s="24" t="n"/>
      <c r="AH46" s="24" t="inlineStr">
        <is>
          <t>SSC/Q0503</t>
        </is>
      </c>
      <c r="AI46" s="24" t="n"/>
    </row>
    <row r="47" ht="32.4" customHeight="1">
      <c r="A47" s="24" t="n">
        <v>45</v>
      </c>
      <c r="B47" s="24" t="inlineStr">
        <is>
          <t>2513.0201</t>
        </is>
      </c>
      <c r="C47" s="24" t="inlineStr">
        <is>
          <t>User Interface Developer</t>
        </is>
      </c>
      <c r="D47" s="25" t="inlineStr">
        <is>
          <t>UI Developer is responsible for creating complex user interfaces for a variety of applications, such as computer programs, databases and websites.</t>
        </is>
      </c>
      <c r="E47" s="26" t="n"/>
      <c r="F47" s="26" t="n"/>
      <c r="G47" s="26" t="n"/>
      <c r="H47" s="26" t="n"/>
      <c r="I47" s="26" t="n"/>
      <c r="J47" s="26" t="n"/>
      <c r="K47" s="27" t="n"/>
      <c r="L47" s="27" t="n"/>
      <c r="M47" s="27" t="n"/>
      <c r="N47" s="27" t="n"/>
      <c r="O47" s="27" t="n"/>
      <c r="P47" s="26" t="n"/>
      <c r="Q47" s="26" t="n"/>
      <c r="R47" s="26" t="n"/>
      <c r="S47" s="26" t="n"/>
      <c r="T47" s="26" t="n"/>
      <c r="U47" s="26" t="n"/>
      <c r="V47" s="26" t="n"/>
      <c r="W47" s="26" t="n"/>
      <c r="X47" s="27" t="n"/>
      <c r="Y47" s="28">
        <f>IF(COUNTA(E47:J47,P47:W47)=0,"Not started",IF(COUNTA(E47:J47,P47:W47)&lt;14,"Incomplete",IF((AND(F47&lt;&gt;"",F47&amp;""&lt;&gt;"0",TRIM(K47)="")+AND(G47&lt;&gt;"",G47&amp;""&lt;&gt;"0",TRIM(L47)="")+AND(H47&lt;&gt;"",H47&amp;""&lt;&gt;"0",TRIM(M47)="")+AND(I47&lt;&gt;"",I47&amp;""&lt;&gt;"0",TRIM(N47)="")+AND(J47&lt;&gt;"",J47&amp;""&lt;&gt;"0",TRIM(O47)=""))&gt;0,"Add evidence","Complete")))</f>
        <v/>
      </c>
      <c r="Z47" s="24" t="inlineStr">
        <is>
          <t>2513</t>
        </is>
      </c>
      <c r="AA47" s="24" t="inlineStr">
        <is>
          <t>Web and Multimedia Developers</t>
        </is>
      </c>
      <c r="AB47" s="24" t="inlineStr">
        <is>
          <t>251</t>
        </is>
      </c>
      <c r="AC47" s="24" t="inlineStr">
        <is>
          <t>Software and Application Developers, and Analysts</t>
        </is>
      </c>
      <c r="AD47" s="24" t="n">
        <v>2</v>
      </c>
      <c r="AE47" s="24" t="inlineStr">
        <is>
          <t>Professionals</t>
        </is>
      </c>
      <c r="AF47" s="24" t="inlineStr">
        <is>
          <t>4</t>
        </is>
      </c>
      <c r="AG47" s="24" t="n"/>
      <c r="AH47" s="24" t="inlineStr">
        <is>
          <t>SSC/Q0502</t>
        </is>
      </c>
      <c r="AI47" s="24" t="n"/>
    </row>
    <row r="48" ht="45.59999999999999" customHeight="1">
      <c r="A48" s="24" t="n">
        <v>46</v>
      </c>
      <c r="B48" s="24" t="inlineStr">
        <is>
          <t>2514.9900</t>
        </is>
      </c>
      <c r="C48" s="24" t="inlineStr">
        <is>
          <t>Computer Programmers, Other</t>
        </is>
      </c>
      <c r="D48" s="25" t="inlineStr">
        <is>
          <t>Computer Programmers, Other are computer programmers who write, test and maintain computer programs to meet the needs of users of computer systems and all other Computer Programmers not elsewhere classified.</t>
        </is>
      </c>
      <c r="E48" s="26" t="n"/>
      <c r="F48" s="26" t="n"/>
      <c r="G48" s="26" t="n"/>
      <c r="H48" s="26" t="n"/>
      <c r="I48" s="26" t="n"/>
      <c r="J48" s="26" t="n"/>
      <c r="K48" s="27" t="n"/>
      <c r="L48" s="27" t="n"/>
      <c r="M48" s="27" t="n"/>
      <c r="N48" s="27" t="n"/>
      <c r="O48" s="27" t="n"/>
      <c r="P48" s="26" t="n"/>
      <c r="Q48" s="26" t="n"/>
      <c r="R48" s="26" t="n"/>
      <c r="S48" s="26" t="n"/>
      <c r="T48" s="26" t="n"/>
      <c r="U48" s="26" t="n"/>
      <c r="V48" s="26" t="n"/>
      <c r="W48" s="26" t="n"/>
      <c r="X48" s="27" t="n"/>
      <c r="Y48" s="28">
        <f>IF(COUNTA(E48:J48,P48:W48)=0,"Not started",IF(COUNTA(E48:J48,P48:W48)&lt;14,"Incomplete",IF((AND(F48&lt;&gt;"",F48&amp;""&lt;&gt;"0",TRIM(K48)="")+AND(G48&lt;&gt;"",G48&amp;""&lt;&gt;"0",TRIM(L48)="")+AND(H48&lt;&gt;"",H48&amp;""&lt;&gt;"0",TRIM(M48)="")+AND(I48&lt;&gt;"",I48&amp;""&lt;&gt;"0",TRIM(N48)="")+AND(J48&lt;&gt;"",J48&amp;""&lt;&gt;"0",TRIM(O48)=""))&gt;0,"Add evidence","Complete")))</f>
        <v/>
      </c>
      <c r="Z48" s="24" t="inlineStr">
        <is>
          <t>2514</t>
        </is>
      </c>
      <c r="AA48" s="24" t="inlineStr">
        <is>
          <t>Applications Programmers</t>
        </is>
      </c>
      <c r="AB48" s="24" t="inlineStr">
        <is>
          <t>251</t>
        </is>
      </c>
      <c r="AC48" s="24" t="inlineStr">
        <is>
          <t>Software and Application Developers, and Analysts</t>
        </is>
      </c>
      <c r="AD48" s="24" t="n">
        <v>2</v>
      </c>
      <c r="AE48" s="24" t="inlineStr">
        <is>
          <t>Professionals</t>
        </is>
      </c>
      <c r="AF48" s="24" t="inlineStr">
        <is>
          <t>4</t>
        </is>
      </c>
      <c r="AG48" s="24" t="inlineStr">
        <is>
          <t>2132.90</t>
        </is>
      </c>
      <c r="AH48" s="24" t="n"/>
      <c r="AI48" s="24" t="n"/>
    </row>
    <row r="49" ht="256.8" customHeight="1">
      <c r="A49" s="24" t="n">
        <v>47</v>
      </c>
      <c r="B49" s="24" t="inlineStr">
        <is>
          <t>2519.0300</t>
        </is>
      </c>
      <c r="C49" s="24" t="inlineStr">
        <is>
          <t>Quality Assurance Analyst (Computers)</t>
        </is>
      </c>
      <c r="D49" s="25" t="inlineStr">
        <is>
          <t>Quality Assurance Analyst (Computers) evaluates and tests new or modified software programs and software development procedures used to verify that programs function according to user requirements and conform to establishment guidelines. Writes, revises, and verifies quality standards and test procedures for program design and product evaluation to attain quality of software economically and efficiently. Reviews new or modified programs, including documentation, diagram, and flow chart, to determine whether the program performs according to user request and conforms to guidelines. Recommends program improvements or corrections to programmers. Reviews computer-operating log to identify program processing errors. Enters instructions into the computer to test program for validity of results, accuracy, reliability, and conformance to establishment standards. Observes computer monitor screen during program test to detect error codes or interruption of program and corrects errors. Identifies differences between establishment standards and user applications and suggests modifications to conform to standards. Sets up tests at request of user to locate and correct program operating error following installation of the program. Conducts compatibility tests with vendor-provided programs. Monitors program performance after implementation to prevent reoccurrence of program operating problems and ensures efficiency of operation. Writes documentation to describe program evaluation, testing, and correction. May evaluate proposed software or software enhancement for feasibility. May develop utility programs to test, track, and verify defects in software programs. May write programs to create new procedures or modify existing procedures. May train software program users.</t>
        </is>
      </c>
      <c r="E49" s="26" t="n"/>
      <c r="F49" s="26" t="n"/>
      <c r="G49" s="26" t="n"/>
      <c r="H49" s="26" t="n"/>
      <c r="I49" s="26" t="n"/>
      <c r="J49" s="26" t="n"/>
      <c r="K49" s="27" t="n"/>
      <c r="L49" s="27" t="n"/>
      <c r="M49" s="27" t="n"/>
      <c r="N49" s="27" t="n"/>
      <c r="O49" s="27" t="n"/>
      <c r="P49" s="26" t="n"/>
      <c r="Q49" s="26" t="n"/>
      <c r="R49" s="26" t="n"/>
      <c r="S49" s="26" t="n"/>
      <c r="T49" s="26" t="n"/>
      <c r="U49" s="26" t="n"/>
      <c r="V49" s="26" t="n"/>
      <c r="W49" s="26" t="n"/>
      <c r="X49" s="27" t="n"/>
      <c r="Y49" s="28">
        <f>IF(COUNTA(E49:J49,P49:W49)=0,"Not started",IF(COUNTA(E49:J49,P49:W49)&lt;14,"Incomplete",IF((AND(F49&lt;&gt;"",F49&amp;""&lt;&gt;"0",TRIM(K49)="")+AND(G49&lt;&gt;"",G49&amp;""&lt;&gt;"0",TRIM(L49)="")+AND(H49&lt;&gt;"",H49&amp;""&lt;&gt;"0",TRIM(M49)="")+AND(I49&lt;&gt;"",I49&amp;""&lt;&gt;"0",TRIM(N49)="")+AND(J49&lt;&gt;"",J49&amp;""&lt;&gt;"0",TRIM(O49)=""))&gt;0,"Add evidence","Complete")))</f>
        <v/>
      </c>
      <c r="Z49" s="24" t="inlineStr">
        <is>
          <t>2519</t>
        </is>
      </c>
      <c r="AA49" s="24" t="inlineStr">
        <is>
          <t>Software and Application Developers and Analysts Not Elsewhere Classified</t>
        </is>
      </c>
      <c r="AB49" s="24" t="inlineStr">
        <is>
          <t>251</t>
        </is>
      </c>
      <c r="AC49" s="24" t="inlineStr">
        <is>
          <t>Software and Application Developers, and Analysts</t>
        </is>
      </c>
      <c r="AD49" s="24" t="n">
        <v>2</v>
      </c>
      <c r="AE49" s="24" t="inlineStr">
        <is>
          <t>Professionals</t>
        </is>
      </c>
      <c r="AF49" s="24" t="inlineStr">
        <is>
          <t>4</t>
        </is>
      </c>
      <c r="AG49" s="24" t="inlineStr">
        <is>
          <t>2139.10</t>
        </is>
      </c>
      <c r="AH49" s="24" t="n"/>
      <c r="AI49" s="24" t="n"/>
    </row>
    <row r="50" ht="58.8" customHeight="1">
      <c r="A50" s="24" t="n">
        <v>48</v>
      </c>
      <c r="B50" s="24" t="inlineStr">
        <is>
          <t>2519.0302</t>
        </is>
      </c>
      <c r="C50" s="24" t="inlineStr">
        <is>
          <t>Test Engineer-IT Services</t>
        </is>
      </c>
      <c r="D50" s="25" t="inlineStr">
        <is>
          <t>Test Engineer is responsible for development and co-ordination of scheduled and unscheduled test plans and conducting software compatibility tests with programs, hardware, operating systems, or network environments. The job involves documenting, reporting and tracking software defects using manual testing software.</t>
        </is>
      </c>
      <c r="E50" s="26" t="n"/>
      <c r="F50" s="26" t="n"/>
      <c r="G50" s="26" t="n"/>
      <c r="H50" s="26" t="n"/>
      <c r="I50" s="26" t="n"/>
      <c r="J50" s="26" t="n"/>
      <c r="K50" s="27" t="n"/>
      <c r="L50" s="27" t="n"/>
      <c r="M50" s="27" t="n"/>
      <c r="N50" s="27" t="n"/>
      <c r="O50" s="27" t="n"/>
      <c r="P50" s="26" t="n"/>
      <c r="Q50" s="26" t="n"/>
      <c r="R50" s="26" t="n"/>
      <c r="S50" s="26" t="n"/>
      <c r="T50" s="26" t="n"/>
      <c r="U50" s="26" t="n"/>
      <c r="V50" s="26" t="n"/>
      <c r="W50" s="26" t="n"/>
      <c r="X50" s="27" t="n"/>
      <c r="Y50" s="28">
        <f>IF(COUNTA(E50:J50,P50:W50)=0,"Not started",IF(COUNTA(E50:J50,P50:W50)&lt;14,"Incomplete",IF((AND(F50&lt;&gt;"",F50&amp;""&lt;&gt;"0",TRIM(K50)="")+AND(G50&lt;&gt;"",G50&amp;""&lt;&gt;"0",TRIM(L50)="")+AND(H50&lt;&gt;"",H50&amp;""&lt;&gt;"0",TRIM(M50)="")+AND(I50&lt;&gt;"",I50&amp;""&lt;&gt;"0",TRIM(N50)="")+AND(J50&lt;&gt;"",J50&amp;""&lt;&gt;"0",TRIM(O50)=""))&gt;0,"Add evidence","Complete")))</f>
        <v/>
      </c>
      <c r="Z50" s="24" t="inlineStr">
        <is>
          <t>2519</t>
        </is>
      </c>
      <c r="AA50" s="24" t="inlineStr">
        <is>
          <t>Software and Application Developers and Analysts Not Elsewhere Classified</t>
        </is>
      </c>
      <c r="AB50" s="24" t="inlineStr">
        <is>
          <t>251</t>
        </is>
      </c>
      <c r="AC50" s="24" t="inlineStr">
        <is>
          <t>Software and Application Developers, and Analysts</t>
        </is>
      </c>
      <c r="AD50" s="24" t="n">
        <v>2</v>
      </c>
      <c r="AE50" s="24" t="inlineStr">
        <is>
          <t>Professionals</t>
        </is>
      </c>
      <c r="AF50" s="24" t="inlineStr">
        <is>
          <t>4</t>
        </is>
      </c>
      <c r="AG50" s="24" t="n"/>
      <c r="AH50" s="24" t="inlineStr">
        <is>
          <t>SSC/Q1301</t>
        </is>
      </c>
      <c r="AI50" s="24" t="n"/>
    </row>
    <row r="51" ht="58.8" customHeight="1">
      <c r="A51" s="24" t="n">
        <v>49</v>
      </c>
      <c r="B51" s="24" t="inlineStr">
        <is>
          <t>2519.0402</t>
        </is>
      </c>
      <c r="C51" s="24" t="inlineStr">
        <is>
          <t>Test Engineer-Software Products</t>
        </is>
      </c>
      <c r="D51" s="25" t="inlineStr">
        <is>
          <t>Test Engineer-Software Products are responsible for development and co-ordination of scheduled and unscheduled test plans and conducting software compatibility tests with programs, hardware, operating systems, or network environments. The job involves documenting, reporting and tracking software defects using manual testing software.</t>
        </is>
      </c>
      <c r="E51" s="26" t="n"/>
      <c r="F51" s="26" t="n"/>
      <c r="G51" s="26" t="n"/>
      <c r="H51" s="26" t="n"/>
      <c r="I51" s="26" t="n"/>
      <c r="J51" s="26" t="n"/>
      <c r="K51" s="27" t="n"/>
      <c r="L51" s="27" t="n"/>
      <c r="M51" s="27" t="n"/>
      <c r="N51" s="27" t="n"/>
      <c r="O51" s="27" t="n"/>
      <c r="P51" s="26" t="n"/>
      <c r="Q51" s="26" t="n"/>
      <c r="R51" s="26" t="n"/>
      <c r="S51" s="26" t="n"/>
      <c r="T51" s="26" t="n"/>
      <c r="U51" s="26" t="n"/>
      <c r="V51" s="26" t="n"/>
      <c r="W51" s="26" t="n"/>
      <c r="X51" s="27" t="n"/>
      <c r="Y51" s="28">
        <f>IF(COUNTA(E51:J51,P51:W51)=0,"Not started",IF(COUNTA(E51:J51,P51:W51)&lt;14,"Incomplete",IF((AND(F51&lt;&gt;"",F51&amp;""&lt;&gt;"0",TRIM(K51)="")+AND(G51&lt;&gt;"",G51&amp;""&lt;&gt;"0",TRIM(L51)="")+AND(H51&lt;&gt;"",H51&amp;""&lt;&gt;"0",TRIM(M51)="")+AND(I51&lt;&gt;"",I51&amp;""&lt;&gt;"0",TRIM(N51)="")+AND(J51&lt;&gt;"",J51&amp;""&lt;&gt;"0",TRIM(O51)=""))&gt;0,"Add evidence","Complete")))</f>
        <v/>
      </c>
      <c r="Z51" s="24" t="inlineStr">
        <is>
          <t>2519</t>
        </is>
      </c>
      <c r="AA51" s="24" t="inlineStr">
        <is>
          <t>Software and Application Developers and Analysts Not Elsewhere Classified</t>
        </is>
      </c>
      <c r="AB51" s="24" t="inlineStr">
        <is>
          <t>251</t>
        </is>
      </c>
      <c r="AC51" s="24" t="inlineStr">
        <is>
          <t>Software and Application Developers, and Analysts</t>
        </is>
      </c>
      <c r="AD51" s="24" t="n">
        <v>2</v>
      </c>
      <c r="AE51" s="24" t="inlineStr">
        <is>
          <t>Professionals</t>
        </is>
      </c>
      <c r="AF51" s="24" t="inlineStr">
        <is>
          <t>4</t>
        </is>
      </c>
      <c r="AG51" s="24" t="n"/>
      <c r="AH51" s="24" t="inlineStr">
        <is>
          <t>SSC/Q7001</t>
        </is>
      </c>
      <c r="AI51" s="24" t="n"/>
    </row>
    <row r="52" ht="45.59999999999999" customHeight="1">
      <c r="A52" s="24" t="n">
        <v>50</v>
      </c>
      <c r="B52" s="24" t="inlineStr">
        <is>
          <t>2523.0501</t>
        </is>
      </c>
      <c r="C52" s="24" t="inlineStr">
        <is>
          <t>Hardware Engineer</t>
        </is>
      </c>
      <c r="D52" s="25" t="inlineStr">
        <is>
          <t>Hardware Engineer is responsible for design, development and testing of computer hardware. They oversee the installation of computer systems, chips and circuit boards as well as peripherals including keyboards, routers and printers.</t>
        </is>
      </c>
      <c r="E52" s="26" t="n"/>
      <c r="F52" s="26" t="n"/>
      <c r="G52" s="26" t="n"/>
      <c r="H52" s="26" t="n"/>
      <c r="I52" s="26" t="n"/>
      <c r="J52" s="26" t="n"/>
      <c r="K52" s="27" t="n"/>
      <c r="L52" s="27" t="n"/>
      <c r="M52" s="27" t="n"/>
      <c r="N52" s="27" t="n"/>
      <c r="O52" s="27" t="n"/>
      <c r="P52" s="26" t="n"/>
      <c r="Q52" s="26" t="n"/>
      <c r="R52" s="26" t="n"/>
      <c r="S52" s="26" t="n"/>
      <c r="T52" s="26" t="n"/>
      <c r="U52" s="26" t="n"/>
      <c r="V52" s="26" t="n"/>
      <c r="W52" s="26" t="n"/>
      <c r="X52" s="27" t="n"/>
      <c r="Y52" s="28">
        <f>IF(COUNTA(E52:J52,P52:W52)=0,"Not started",IF(COUNTA(E52:J52,P52:W52)&lt;14,"Incomplete",IF((AND(F52&lt;&gt;"",F52&amp;""&lt;&gt;"0",TRIM(K52)="")+AND(G52&lt;&gt;"",G52&amp;""&lt;&gt;"0",TRIM(L52)="")+AND(H52&lt;&gt;"",H52&amp;""&lt;&gt;"0",TRIM(M52)="")+AND(I52&lt;&gt;"",I52&amp;""&lt;&gt;"0",TRIM(N52)="")+AND(J52&lt;&gt;"",J52&amp;""&lt;&gt;"0",TRIM(O52)=""))&gt;0,"Add evidence","Complete")))</f>
        <v/>
      </c>
      <c r="Z52" s="24" t="inlineStr">
        <is>
          <t>2523</t>
        </is>
      </c>
      <c r="AA52" s="24" t="inlineStr">
        <is>
          <t>Computer Network Professionals</t>
        </is>
      </c>
      <c r="AB52" s="24" t="inlineStr">
        <is>
          <t>252</t>
        </is>
      </c>
      <c r="AC52" s="24" t="inlineStr">
        <is>
          <t>Database and Network Professionals</t>
        </is>
      </c>
      <c r="AD52" s="24" t="n">
        <v>2</v>
      </c>
      <c r="AE52" s="24" t="inlineStr">
        <is>
          <t>Professionals</t>
        </is>
      </c>
      <c r="AF52" s="24" t="inlineStr">
        <is>
          <t>4</t>
        </is>
      </c>
      <c r="AG52" s="24" t="n"/>
      <c r="AH52" s="24" t="inlineStr">
        <is>
          <t>SSC/Q4701</t>
        </is>
      </c>
      <c r="AI52" s="24" t="n"/>
    </row>
    <row r="53" ht="124.8" customHeight="1">
      <c r="A53" s="24" t="n">
        <v>51</v>
      </c>
      <c r="B53" s="24" t="inlineStr">
        <is>
          <t>2611.0800</t>
        </is>
      </c>
      <c r="C53" s="24" t="inlineStr">
        <is>
          <t>Attorney at Law</t>
        </is>
      </c>
      <c r="D53" s="25" t="inlineStr">
        <is>
          <t>Attorney at Law; Solicitor gives advice in legal matters, prepares case for Advocates for conducting it on behalf of client and files legal proceedings in court of law. Receives instructions from clients and obtains necessary details from them. Studies documents or papers involved in case. Interviews witnesses, gathers full information and prepares case. Files case in court. Secures writ of summons and obtains court order permitting him to inspect and examine relevant documents. Collects testimony of witnesses and prepares brief for hearing before Judge. Discusses case with Advocate concerned and submits brief to him. Advises Advocate, attends court and assists Advocate in presenting case before judge. May function as Notary Public if so appointed by Government. May appear in court on behalf of client.</t>
        </is>
      </c>
      <c r="E53" s="26" t="n"/>
      <c r="F53" s="26" t="n"/>
      <c r="G53" s="26" t="n"/>
      <c r="H53" s="26" t="n"/>
      <c r="I53" s="26" t="n"/>
      <c r="J53" s="26" t="n"/>
      <c r="K53" s="27" t="n"/>
      <c r="L53" s="27" t="n"/>
      <c r="M53" s="27" t="n"/>
      <c r="N53" s="27" t="n"/>
      <c r="O53" s="27" t="n"/>
      <c r="P53" s="26" t="n"/>
      <c r="Q53" s="26" t="n"/>
      <c r="R53" s="26" t="n"/>
      <c r="S53" s="26" t="n"/>
      <c r="T53" s="26" t="n"/>
      <c r="U53" s="26" t="n"/>
      <c r="V53" s="26" t="n"/>
      <c r="W53" s="26" t="n"/>
      <c r="X53" s="27" t="n"/>
      <c r="Y53" s="28">
        <f>IF(COUNTA(E53:J53,P53:W53)=0,"Not started",IF(COUNTA(E53:J53,P53:W53)&lt;14,"Incomplete",IF((AND(F53&lt;&gt;"",F53&amp;""&lt;&gt;"0",TRIM(K53)="")+AND(G53&lt;&gt;"",G53&amp;""&lt;&gt;"0",TRIM(L53)="")+AND(H53&lt;&gt;"",H53&amp;""&lt;&gt;"0",TRIM(M53)="")+AND(I53&lt;&gt;"",I53&amp;""&lt;&gt;"0",TRIM(N53)="")+AND(J53&lt;&gt;"",J53&amp;""&lt;&gt;"0",TRIM(O53)=""))&gt;0,"Add evidence","Complete")))</f>
        <v/>
      </c>
      <c r="Z53" s="24" t="inlineStr">
        <is>
          <t>2611</t>
        </is>
      </c>
      <c r="AA53" s="24" t="inlineStr">
        <is>
          <t>Lawyers</t>
        </is>
      </c>
      <c r="AB53" s="24" t="inlineStr">
        <is>
          <t>261</t>
        </is>
      </c>
      <c r="AC53" s="24" t="inlineStr">
        <is>
          <t>Legal Professionals</t>
        </is>
      </c>
      <c r="AD53" s="24" t="n">
        <v>2</v>
      </c>
      <c r="AE53" s="24" t="inlineStr">
        <is>
          <t>Professionals</t>
        </is>
      </c>
      <c r="AF53" s="24" t="inlineStr">
        <is>
          <t>4</t>
        </is>
      </c>
      <c r="AG53" s="24" t="inlineStr">
        <is>
          <t>2421.70</t>
        </is>
      </c>
      <c r="AH53" s="24" t="n"/>
      <c r="AI53" s="24" t="n"/>
    </row>
    <row r="54" ht="151.2" customHeight="1">
      <c r="A54" s="24" t="n">
        <v>52</v>
      </c>
      <c r="B54" s="24" t="inlineStr">
        <is>
          <t>2612.0300</t>
        </is>
      </c>
      <c r="C54" s="24" t="inlineStr">
        <is>
          <t>District and Session Judge</t>
        </is>
      </c>
      <c r="D54" s="25" t="inlineStr">
        <is>
          <t>District and Sessions Judge functions as administrative and judicial head of all civil and criminal courts other than magisterial court in their district(s) and decides civil and criminal cases. Tries original civil cases and criminal cases committed to their court by magisterial courts. Listens to arguments of counsels of both sides, examines documents and formulates charges. Explains charges to accused in criminal cases and issues to litigants in civil cases. Records evidence of witnesses and admits documents as exhibits. Listens to arguments of counsels and delivers judgement. Hears appeals against judgement of lower courts, examines records and judgements, listens to arguments of counsels and delivers judgement. Attends to administrative matters and inspects subordinate courts as head of judiciary in district. May transfer cases from one court to another. May grant bail to accused in criminal cases. May allocate sessions cases between their court and civil and sessions court.</t>
        </is>
      </c>
      <c r="E54" s="26" t="n"/>
      <c r="F54" s="26" t="n"/>
      <c r="G54" s="26" t="n"/>
      <c r="H54" s="26" t="n"/>
      <c r="I54" s="26" t="n"/>
      <c r="J54" s="26" t="n"/>
      <c r="K54" s="27" t="n"/>
      <c r="L54" s="27" t="n"/>
      <c r="M54" s="27" t="n"/>
      <c r="N54" s="27" t="n"/>
      <c r="O54" s="27" t="n"/>
      <c r="P54" s="26" t="n"/>
      <c r="Q54" s="26" t="n"/>
      <c r="R54" s="26" t="n"/>
      <c r="S54" s="26" t="n"/>
      <c r="T54" s="26" t="n"/>
      <c r="U54" s="26" t="n"/>
      <c r="V54" s="26" t="n"/>
      <c r="W54" s="26" t="n"/>
      <c r="X54" s="27" t="n"/>
      <c r="Y54" s="28">
        <f>IF(COUNTA(E54:J54,P54:W54)=0,"Not started",IF(COUNTA(E54:J54,P54:W54)&lt;14,"Incomplete",IF((AND(F54&lt;&gt;"",F54&amp;""&lt;&gt;"0",TRIM(K54)="")+AND(G54&lt;&gt;"",G54&amp;""&lt;&gt;"0",TRIM(L54)="")+AND(H54&lt;&gt;"",H54&amp;""&lt;&gt;"0",TRIM(M54)="")+AND(I54&lt;&gt;"",I54&amp;""&lt;&gt;"0",TRIM(N54)="")+AND(J54&lt;&gt;"",J54&amp;""&lt;&gt;"0",TRIM(O54)=""))&gt;0,"Add evidence","Complete")))</f>
        <v/>
      </c>
      <c r="Z54" s="24" t="inlineStr">
        <is>
          <t>2612</t>
        </is>
      </c>
      <c r="AA54" s="24" t="inlineStr">
        <is>
          <t>Judges</t>
        </is>
      </c>
      <c r="AB54" s="24" t="inlineStr">
        <is>
          <t>261</t>
        </is>
      </c>
      <c r="AC54" s="24" t="inlineStr">
        <is>
          <t>Legal Professionals</t>
        </is>
      </c>
      <c r="AD54" s="24" t="n">
        <v>2</v>
      </c>
      <c r="AE54" s="24" t="inlineStr">
        <is>
          <t>Professionals</t>
        </is>
      </c>
      <c r="AF54" s="24" t="inlineStr">
        <is>
          <t>4</t>
        </is>
      </c>
      <c r="AG54" s="24" t="inlineStr">
        <is>
          <t>2422.30</t>
        </is>
      </c>
      <c r="AH54" s="24" t="n"/>
      <c r="AI54" s="24" t="n"/>
    </row>
    <row r="55" ht="151.2" customHeight="1">
      <c r="A55" s="24" t="n">
        <v>53</v>
      </c>
      <c r="B55" s="24" t="inlineStr">
        <is>
          <t>2619.0200</t>
        </is>
      </c>
      <c r="C55" s="24" t="inlineStr">
        <is>
          <t>Registrar (Appellate Side, High Court)</t>
        </is>
      </c>
      <c r="D55" s="25" t="inlineStr">
        <is>
          <t>Registrar (Appellate Side, High Court) functions as head and controlling officer of Appellate Side of High Court. Attends to all administrative matters pertaining to subordinate courts and to correspondence with Government, other High Courts and district and subordinate courts. Recommends postings of District, Sessions and Assistant Judges to Government as directed by Chief justice. Exercise quasi-judicial powers in respect of admission of appeals, granting time for filing of process fee, written process, deficit court fee, printing cost and making cases ready for hearing by bench. Attends to enrolment and disciplinary matters regarding Advocates and District Pleaders. Controls expenditure and acts as custodian of moneys deposited. Audits monthly returns received from district and subordinate courts. Supervises compilation of administrative report of Civil and Criminal Justice and High Court publications. Allots various court work to subordinates and ensures their proper execution.</t>
        </is>
      </c>
      <c r="E55" s="26" t="n"/>
      <c r="F55" s="26" t="n"/>
      <c r="G55" s="26" t="n"/>
      <c r="H55" s="26" t="n"/>
      <c r="I55" s="26" t="n"/>
      <c r="J55" s="26" t="n"/>
      <c r="K55" s="27" t="n"/>
      <c r="L55" s="27" t="n"/>
      <c r="M55" s="27" t="n"/>
      <c r="N55" s="27" t="n"/>
      <c r="O55" s="27" t="n"/>
      <c r="P55" s="26" t="n"/>
      <c r="Q55" s="26" t="n"/>
      <c r="R55" s="26" t="n"/>
      <c r="S55" s="26" t="n"/>
      <c r="T55" s="26" t="n"/>
      <c r="U55" s="26" t="n"/>
      <c r="V55" s="26" t="n"/>
      <c r="W55" s="26" t="n"/>
      <c r="X55" s="27" t="n"/>
      <c r="Y55" s="28">
        <f>IF(COUNTA(E55:J55,P55:W55)=0,"Not started",IF(COUNTA(E55:J55,P55:W55)&lt;14,"Incomplete",IF((AND(F55&lt;&gt;"",F55&amp;""&lt;&gt;"0",TRIM(K55)="")+AND(G55&lt;&gt;"",G55&amp;""&lt;&gt;"0",TRIM(L55)="")+AND(H55&lt;&gt;"",H55&amp;""&lt;&gt;"0",TRIM(M55)="")+AND(I55&lt;&gt;"",I55&amp;""&lt;&gt;"0",TRIM(N55)="")+AND(J55&lt;&gt;"",J55&amp;""&lt;&gt;"0",TRIM(O55)=""))&gt;0,"Add evidence","Complete")))</f>
        <v/>
      </c>
      <c r="Z55" s="24" t="inlineStr">
        <is>
          <t>2619</t>
        </is>
      </c>
      <c r="AA55" s="24" t="inlineStr">
        <is>
          <t>Legal Professionals, Not Elsewhere Classified</t>
        </is>
      </c>
      <c r="AB55" s="24" t="inlineStr">
        <is>
          <t>261</t>
        </is>
      </c>
      <c r="AC55" s="24" t="inlineStr">
        <is>
          <t>Legal Professionals</t>
        </is>
      </c>
      <c r="AD55" s="24" t="n">
        <v>2</v>
      </c>
      <c r="AE55" s="24" t="inlineStr">
        <is>
          <t>Professionals</t>
        </is>
      </c>
      <c r="AF55" s="24" t="inlineStr">
        <is>
          <t>4</t>
        </is>
      </c>
      <c r="AG55" s="24" t="inlineStr">
        <is>
          <t>2429.20</t>
        </is>
      </c>
      <c r="AH55" s="24" t="n"/>
      <c r="AI55" s="24" t="n"/>
    </row>
    <row r="56" ht="204" customHeight="1">
      <c r="A56" s="24" t="n">
        <v>54</v>
      </c>
      <c r="B56" s="24" t="inlineStr">
        <is>
          <t>2622.0500</t>
        </is>
      </c>
      <c r="C56" s="24" t="inlineStr">
        <is>
          <t>News Librarian</t>
        </is>
      </c>
      <c r="D56" s="25" t="inlineStr">
        <is>
          <t>News Librarian manages information resources library stored in files, on tape or microfilm, or in computers for use by news and editorial staff in publishing establishments, such as newspaper and magazine publishers, and in broadcasting establishments, such as radio and television stations: Directs activities of workers engaged in clipping, classifying, cataloguing, indexing, storing, editing, and retrieving library information, or performs these activities as needed. Researches, retrieves, and disseminates information in resource library or commercial databases in response to requests from news or editorial staff, using knowledge of classification system or computer database. Maintains records and statistics on use of databases and information services provided. May manage in-house database of news information, assign classification terms to news articles, input news articles into database, and research news information in in-house database. May develop databases for data storage and retrieval, according to needs of news staff. May hire, train, schedule, and evaluate library staff. May prepare library budgets. May promote and market library products and services to public. May co-ordinate activities of library with activities of other departments. May select and purchase reference books for library collection. May manage graphics library, assign classification terms to graphics, and research graphics.</t>
        </is>
      </c>
      <c r="E56" s="26" t="n"/>
      <c r="F56" s="26" t="n"/>
      <c r="G56" s="26" t="n"/>
      <c r="H56" s="26" t="n"/>
      <c r="I56" s="26" t="n"/>
      <c r="J56" s="26" t="n"/>
      <c r="K56" s="27" t="n"/>
      <c r="L56" s="27" t="n"/>
      <c r="M56" s="27" t="n"/>
      <c r="N56" s="27" t="n"/>
      <c r="O56" s="27" t="n"/>
      <c r="P56" s="26" t="n"/>
      <c r="Q56" s="26" t="n"/>
      <c r="R56" s="26" t="n"/>
      <c r="S56" s="26" t="n"/>
      <c r="T56" s="26" t="n"/>
      <c r="U56" s="26" t="n"/>
      <c r="V56" s="26" t="n"/>
      <c r="W56" s="26" t="n"/>
      <c r="X56" s="27" t="n"/>
      <c r="Y56" s="28">
        <f>IF(COUNTA(E56:J56,P56:W56)=0,"Not started",IF(COUNTA(E56:J56,P56:W56)&lt;14,"Incomplete",IF((AND(F56&lt;&gt;"",F56&amp;""&lt;&gt;"0",TRIM(K56)="")+AND(G56&lt;&gt;"",G56&amp;""&lt;&gt;"0",TRIM(L56)="")+AND(H56&lt;&gt;"",H56&amp;""&lt;&gt;"0",TRIM(M56)="")+AND(I56&lt;&gt;"",I56&amp;""&lt;&gt;"0",TRIM(N56)="")+AND(J56&lt;&gt;"",J56&amp;""&lt;&gt;"0",TRIM(O56)=""))&gt;0,"Add evidence","Complete")))</f>
        <v/>
      </c>
      <c r="Z56" s="24" t="inlineStr">
        <is>
          <t>2622</t>
        </is>
      </c>
      <c r="AA56" s="24" t="inlineStr">
        <is>
          <t>Librarians and Related Information</t>
        </is>
      </c>
      <c r="AB56" s="24" t="inlineStr">
        <is>
          <t>262</t>
        </is>
      </c>
      <c r="AC56" s="24" t="inlineStr">
        <is>
          <t>Librarians, Archivists and Curators</t>
        </is>
      </c>
      <c r="AD56" s="24" t="n">
        <v>2</v>
      </c>
      <c r="AE56" s="24" t="inlineStr">
        <is>
          <t>Professionals</t>
        </is>
      </c>
      <c r="AF56" s="24" t="inlineStr">
        <is>
          <t>4</t>
        </is>
      </c>
      <c r="AG56" s="24" t="inlineStr">
        <is>
          <t>2432.40</t>
        </is>
      </c>
      <c r="AH56" s="24" t="n"/>
      <c r="AI56" s="24" t="n"/>
    </row>
    <row r="57" ht="177.6" customHeight="1">
      <c r="A57" s="24" t="n">
        <v>55</v>
      </c>
      <c r="B57" s="24" t="inlineStr">
        <is>
          <t>2632.1200</t>
        </is>
      </c>
      <c r="C57" s="24" t="inlineStr">
        <is>
          <t>Geographer</t>
        </is>
      </c>
      <c r="D57" s="25" t="inlineStr">
        <is>
          <t>Geographer studies characteristics and use of earth's surface relating and interpreting inter-action of physical and cultural phenomena. Investigates nature of physical and climate environment of selected areas by obtaining data with application of various sciences such as physics, geology, oceanography, meteorology and biology. Analyses human activity in its social aspects, such as political, economic, movement and growth of population etc. and deduces relationship between such activity and geographical environment. Conducts cartographic surveys and draws maps to required scales. Provides expert opinion to Government and other organizations on problems of economic exploitation of geographic regions determination of political boundaries and related problems. May specialize in any branch of geography such as study of relationship of economic activities to geographical location and climate movement of population, problems of land utilisation in urban growth and town planning preparation of maps, geographical factors influencing national and international problems and may be designated as ECONOMIC GEOGRAPHER. POLITICAL GEOGRAPHER, PHYSICAL GEOGRAPHER, URBAN GEOGRAPHER. CLIMATOLOGIST, GEOMORPHOLOGIST, METHODOLOGIST etc.</t>
        </is>
      </c>
      <c r="E57" s="26" t="n"/>
      <c r="F57" s="26" t="n"/>
      <c r="G57" s="26" t="n"/>
      <c r="H57" s="26" t="n"/>
      <c r="I57" s="26" t="n"/>
      <c r="J57" s="26" t="n"/>
      <c r="K57" s="27" t="n"/>
      <c r="L57" s="27" t="n"/>
      <c r="M57" s="27" t="n"/>
      <c r="N57" s="27" t="n"/>
      <c r="O57" s="27" t="n"/>
      <c r="P57" s="26" t="n"/>
      <c r="Q57" s="26" t="n"/>
      <c r="R57" s="26" t="n"/>
      <c r="S57" s="26" t="n"/>
      <c r="T57" s="26" t="n"/>
      <c r="U57" s="26" t="n"/>
      <c r="V57" s="26" t="n"/>
      <c r="W57" s="26" t="n"/>
      <c r="X57" s="27" t="n"/>
      <c r="Y57" s="28">
        <f>IF(COUNTA(E57:J57,P57:W57)=0,"Not started",IF(COUNTA(E57:J57,P57:W57)&lt;14,"Incomplete",IF((AND(F57&lt;&gt;"",F57&amp;""&lt;&gt;"0",TRIM(K57)="")+AND(G57&lt;&gt;"",G57&amp;""&lt;&gt;"0",TRIM(L57)="")+AND(H57&lt;&gt;"",H57&amp;""&lt;&gt;"0",TRIM(M57)="")+AND(I57&lt;&gt;"",I57&amp;""&lt;&gt;"0",TRIM(N57)="")+AND(J57&lt;&gt;"",J57&amp;""&lt;&gt;"0",TRIM(O57)=""))&gt;0,"Add evidence","Complete")))</f>
        <v/>
      </c>
      <c r="Z57" s="24" t="inlineStr">
        <is>
          <t>2632</t>
        </is>
      </c>
      <c r="AA57" s="24" t="inlineStr">
        <is>
          <t>Sociologists, Anthropologists and Related Professionals</t>
        </is>
      </c>
      <c r="AB57" s="24" t="inlineStr">
        <is>
          <t>263</t>
        </is>
      </c>
      <c r="AC57" s="24" t="inlineStr">
        <is>
          <t>Social and Religious Professionals</t>
        </is>
      </c>
      <c r="AD57" s="24" t="n">
        <v>2</v>
      </c>
      <c r="AE57" s="24" t="inlineStr">
        <is>
          <t>Professionals</t>
        </is>
      </c>
      <c r="AF57" s="24" t="inlineStr">
        <is>
          <t>4</t>
        </is>
      </c>
      <c r="AG57" s="24" t="inlineStr">
        <is>
          <t>2442.85</t>
        </is>
      </c>
      <c r="AH57" s="24" t="n"/>
      <c r="AI57" s="24" t="n"/>
    </row>
    <row r="58" ht="138" customHeight="1">
      <c r="A58" s="24" t="n">
        <v>56</v>
      </c>
      <c r="B58" s="24" t="inlineStr">
        <is>
          <t>2635.1000</t>
        </is>
      </c>
      <c r="C58" s="24" t="inlineStr">
        <is>
          <t>Vocational Rehabilitation Counsellor</t>
        </is>
      </c>
      <c r="D58" s="25" t="inlineStr">
        <is>
          <t>Vocational Rehabilitation Counsellor Counsels differently-abled individuals to provide vocational rehabilitation services. Interviews and evaluates differently-abled applicants, and confers with medical professional personnel to determine the type and degree of disability, eligibility for service, and feasibility of vocational rehabilitation. Accepts or recommends acceptance of suitable candidates. Determines suitable job or business consistent with applicant's desires, aptitudes, and physical, mental, and emotional limitations. Plans and arranges for the applicant to study or train for the job. Assists the applicant with personal adjustment through rehabilitation programmes. Aids applicant in obtaining medical and social services during training. Promotes and develops job openings and places qualified applicant in employment. May specialize in type of disability, such as mental, hearing and visual impairment.</t>
        </is>
      </c>
      <c r="E58" s="26" t="n"/>
      <c r="F58" s="26" t="n"/>
      <c r="G58" s="26" t="n"/>
      <c r="H58" s="26" t="n"/>
      <c r="I58" s="26" t="n"/>
      <c r="J58" s="26" t="n"/>
      <c r="K58" s="27" t="n"/>
      <c r="L58" s="27" t="n"/>
      <c r="M58" s="27" t="n"/>
      <c r="N58" s="27" t="n"/>
      <c r="O58" s="27" t="n"/>
      <c r="P58" s="26" t="n"/>
      <c r="Q58" s="26" t="n"/>
      <c r="R58" s="26" t="n"/>
      <c r="S58" s="26" t="n"/>
      <c r="T58" s="26" t="n"/>
      <c r="U58" s="26" t="n"/>
      <c r="V58" s="26" t="n"/>
      <c r="W58" s="26" t="n"/>
      <c r="X58" s="27" t="n"/>
      <c r="Y58" s="28">
        <f>IF(COUNTA(E58:J58,P58:W58)=0,"Not started",IF(COUNTA(E58:J58,P58:W58)&lt;14,"Incomplete",IF((AND(F58&lt;&gt;"",F58&amp;""&lt;&gt;"0",TRIM(K58)="")+AND(G58&lt;&gt;"",G58&amp;""&lt;&gt;"0",TRIM(L58)="")+AND(H58&lt;&gt;"",H58&amp;""&lt;&gt;"0",TRIM(M58)="")+AND(I58&lt;&gt;"",I58&amp;""&lt;&gt;"0",TRIM(N58)="")+AND(J58&lt;&gt;"",J58&amp;""&lt;&gt;"0",TRIM(O58)=""))&gt;0,"Add evidence","Complete")))</f>
        <v/>
      </c>
      <c r="Z58" s="24" t="inlineStr">
        <is>
          <t>2635</t>
        </is>
      </c>
      <c r="AA58" s="24" t="inlineStr">
        <is>
          <t>Social Work and Counselling Professionals</t>
        </is>
      </c>
      <c r="AB58" s="24" t="inlineStr">
        <is>
          <t>263</t>
        </is>
      </c>
      <c r="AC58" s="24" t="inlineStr">
        <is>
          <t>Social and Religious Professionals</t>
        </is>
      </c>
      <c r="AD58" s="24" t="n">
        <v>2</v>
      </c>
      <c r="AE58" s="24" t="inlineStr">
        <is>
          <t>Professionals</t>
        </is>
      </c>
      <c r="AF58" s="24" t="inlineStr">
        <is>
          <t>4</t>
        </is>
      </c>
      <c r="AG58" s="24" t="inlineStr">
        <is>
          <t>2446.80</t>
        </is>
      </c>
      <c r="AH58" s="24" t="n"/>
      <c r="AI58" s="24" t="n"/>
    </row>
    <row r="59" ht="72" customHeight="1">
      <c r="A59" s="24" t="n">
        <v>57</v>
      </c>
      <c r="B59" s="24" t="inlineStr">
        <is>
          <t>2641.0901</t>
        </is>
      </c>
      <c r="C59" s="24" t="inlineStr">
        <is>
          <t>Technical Writer-Product Documentation</t>
        </is>
      </c>
      <c r="D59" s="25" t="inlineStr">
        <is>
          <t>Technical Writer-Product Documentation is responsible for creating technical documentation related to an application like job-aids, help documents and training materials. These documents serve the core purpose of transferring knowledge between the application development teams and the user teams. The information may be presented in the form of user guides for software applications, reference manuals, training guides or online help incorporated into software and operating guides</t>
        </is>
      </c>
      <c r="E59" s="26" t="n"/>
      <c r="F59" s="26" t="n"/>
      <c r="G59" s="26" t="n"/>
      <c r="H59" s="26" t="n"/>
      <c r="I59" s="26" t="n"/>
      <c r="J59" s="26" t="n"/>
      <c r="K59" s="27" t="n"/>
      <c r="L59" s="27" t="n"/>
      <c r="M59" s="27" t="n"/>
      <c r="N59" s="27" t="n"/>
      <c r="O59" s="27" t="n"/>
      <c r="P59" s="26" t="n"/>
      <c r="Q59" s="26" t="n"/>
      <c r="R59" s="26" t="n"/>
      <c r="S59" s="26" t="n"/>
      <c r="T59" s="26" t="n"/>
      <c r="U59" s="26" t="n"/>
      <c r="V59" s="26" t="n"/>
      <c r="W59" s="26" t="n"/>
      <c r="X59" s="27" t="n"/>
      <c r="Y59" s="28">
        <f>IF(COUNTA(E59:J59,P59:W59)=0,"Not started",IF(COUNTA(E59:J59,P59:W59)&lt;14,"Incomplete",IF((AND(F59&lt;&gt;"",F59&amp;""&lt;&gt;"0",TRIM(K59)="")+AND(G59&lt;&gt;"",G59&amp;""&lt;&gt;"0",TRIM(L59)="")+AND(H59&lt;&gt;"",H59&amp;""&lt;&gt;"0",TRIM(M59)="")+AND(I59&lt;&gt;"",I59&amp;""&lt;&gt;"0",TRIM(N59)="")+AND(J59&lt;&gt;"",J59&amp;""&lt;&gt;"0",TRIM(O59)=""))&gt;0,"Add evidence","Complete")))</f>
        <v/>
      </c>
      <c r="Z59" s="24" t="inlineStr">
        <is>
          <t>2641</t>
        </is>
      </c>
      <c r="AA59" s="24" t="inlineStr">
        <is>
          <t>Authors and Related Writers</t>
        </is>
      </c>
      <c r="AB59" s="24" t="inlineStr">
        <is>
          <t>264</t>
        </is>
      </c>
      <c r="AC59" s="24" t="inlineStr">
        <is>
          <t>Authors, Journalists and Linguists</t>
        </is>
      </c>
      <c r="AD59" s="24" t="n">
        <v>2</v>
      </c>
      <c r="AE59" s="24" t="inlineStr">
        <is>
          <t>Professionals</t>
        </is>
      </c>
      <c r="AF59" s="24" t="inlineStr">
        <is>
          <t>4</t>
        </is>
      </c>
      <c r="AG59" s="24" t="n"/>
      <c r="AH59" s="24" t="inlineStr">
        <is>
          <t>SSC/Q6801</t>
        </is>
      </c>
      <c r="AI59" s="24" t="n"/>
    </row>
    <row r="60" ht="58.8" customHeight="1">
      <c r="A60" s="24" t="n">
        <v>58</v>
      </c>
      <c r="B60" s="24" t="inlineStr">
        <is>
          <t>2642.0200</t>
        </is>
      </c>
      <c r="C60" s="24" t="inlineStr">
        <is>
          <t>Columnist</t>
        </is>
      </c>
      <c r="D60" s="25" t="inlineStr">
        <is>
          <t>Columnist reviews events, developments etc. of public interest periodically in particular columns of newspapers or magazines. Reviews contemporary events by interviewing persons, observing events, attending public meetings, parliamentary debates etc. if necessary. May write in humorous or critical style.</t>
        </is>
      </c>
      <c r="E60" s="26" t="n"/>
      <c r="F60" s="26" t="n"/>
      <c r="G60" s="26" t="n"/>
      <c r="H60" s="26" t="n"/>
      <c r="I60" s="26" t="n"/>
      <c r="J60" s="26" t="n"/>
      <c r="K60" s="27" t="n"/>
      <c r="L60" s="27" t="n"/>
      <c r="M60" s="27" t="n"/>
      <c r="N60" s="27" t="n"/>
      <c r="O60" s="27" t="n"/>
      <c r="P60" s="26" t="n"/>
      <c r="Q60" s="26" t="n"/>
      <c r="R60" s="26" t="n"/>
      <c r="S60" s="26" t="n"/>
      <c r="T60" s="26" t="n"/>
      <c r="U60" s="26" t="n"/>
      <c r="V60" s="26" t="n"/>
      <c r="W60" s="26" t="n"/>
      <c r="X60" s="27" t="n"/>
      <c r="Y60" s="28">
        <f>IF(COUNTA(E60:J60,P60:W60)=0,"Not started",IF(COUNTA(E60:J60,P60:W60)&lt;14,"Incomplete",IF((AND(F60&lt;&gt;"",F60&amp;""&lt;&gt;"0",TRIM(K60)="")+AND(G60&lt;&gt;"",G60&amp;""&lt;&gt;"0",TRIM(L60)="")+AND(H60&lt;&gt;"",H60&amp;""&lt;&gt;"0",TRIM(M60)="")+AND(I60&lt;&gt;"",I60&amp;""&lt;&gt;"0",TRIM(N60)="")+AND(J60&lt;&gt;"",J60&amp;""&lt;&gt;"0",TRIM(O60)=""))&gt;0,"Add evidence","Complete")))</f>
        <v/>
      </c>
      <c r="Z60" s="24" t="inlineStr">
        <is>
          <t>2642</t>
        </is>
      </c>
      <c r="AA60" s="24" t="inlineStr">
        <is>
          <t>Journalists</t>
        </is>
      </c>
      <c r="AB60" s="24" t="inlineStr">
        <is>
          <t>264</t>
        </is>
      </c>
      <c r="AC60" s="24" t="inlineStr">
        <is>
          <t>Authors, Journalists and Linguists</t>
        </is>
      </c>
      <c r="AD60" s="24" t="n">
        <v>2</v>
      </c>
      <c r="AE60" s="24" t="inlineStr">
        <is>
          <t>Professionals</t>
        </is>
      </c>
      <c r="AF60" s="24" t="inlineStr">
        <is>
          <t>4</t>
        </is>
      </c>
      <c r="AG60" s="24" t="inlineStr">
        <is>
          <t>2451.35</t>
        </is>
      </c>
      <c r="AH60" s="24" t="n"/>
      <c r="AI60" s="24" t="n"/>
    </row>
    <row r="61" ht="72" customHeight="1">
      <c r="A61" s="24" t="n">
        <v>59</v>
      </c>
      <c r="B61" s="24" t="inlineStr">
        <is>
          <t>2643.0300</t>
        </is>
      </c>
      <c r="C61" s="24" t="inlineStr">
        <is>
          <t>Interpreter</t>
        </is>
      </c>
      <c r="D61" s="25" t="inlineStr">
        <is>
          <t>Interpreter interprets converts or elucidates spoken language or words into, one or other required languages for being understood by those who do not understand that language. Listens to speaker attentively and renders quickly and fluently translation of spoken language in specified language. May take short notes to enable correct interpretation. May translate written or printed material into specified language.</t>
        </is>
      </c>
      <c r="E61" s="26" t="n"/>
      <c r="F61" s="26" t="n"/>
      <c r="G61" s="26" t="n"/>
      <c r="H61" s="26" t="n"/>
      <c r="I61" s="26" t="n"/>
      <c r="J61" s="26" t="n"/>
      <c r="K61" s="27" t="n"/>
      <c r="L61" s="27" t="n"/>
      <c r="M61" s="27" t="n"/>
      <c r="N61" s="27" t="n"/>
      <c r="O61" s="27" t="n"/>
      <c r="P61" s="26" t="n"/>
      <c r="Q61" s="26" t="n"/>
      <c r="R61" s="26" t="n"/>
      <c r="S61" s="26" t="n"/>
      <c r="T61" s="26" t="n"/>
      <c r="U61" s="26" t="n"/>
      <c r="V61" s="26" t="n"/>
      <c r="W61" s="26" t="n"/>
      <c r="X61" s="27" t="n"/>
      <c r="Y61" s="28">
        <f>IF(COUNTA(E61:J61,P61:W61)=0,"Not started",IF(COUNTA(E61:J61,P61:W61)&lt;14,"Incomplete",IF((AND(F61&lt;&gt;"",F61&amp;""&lt;&gt;"0",TRIM(K61)="")+AND(G61&lt;&gt;"",G61&amp;""&lt;&gt;"0",TRIM(L61)="")+AND(H61&lt;&gt;"",H61&amp;""&lt;&gt;"0",TRIM(M61)="")+AND(I61&lt;&gt;"",I61&amp;""&lt;&gt;"0",TRIM(N61)="")+AND(J61&lt;&gt;"",J61&amp;""&lt;&gt;"0",TRIM(O61)=""))&gt;0,"Add evidence","Complete")))</f>
        <v/>
      </c>
      <c r="Z61" s="24" t="inlineStr">
        <is>
          <t>2643</t>
        </is>
      </c>
      <c r="AA61" s="24" t="inlineStr">
        <is>
          <t>Translators, Interpreters and Other Linguists</t>
        </is>
      </c>
      <c r="AB61" s="24" t="inlineStr">
        <is>
          <t>264</t>
        </is>
      </c>
      <c r="AC61" s="24" t="inlineStr">
        <is>
          <t>Authors, Journalists and Linguists</t>
        </is>
      </c>
      <c r="AD61" s="24" t="n">
        <v>2</v>
      </c>
      <c r="AE61" s="24" t="inlineStr">
        <is>
          <t>Professionals</t>
        </is>
      </c>
      <c r="AF61" s="24" t="inlineStr">
        <is>
          <t>4</t>
        </is>
      </c>
      <c r="AG61" s="24" t="inlineStr">
        <is>
          <t>2444.30</t>
        </is>
      </c>
      <c r="AH61" s="24" t="n"/>
      <c r="AI61" s="24" t="n"/>
    </row>
    <row r="62" ht="45.59999999999999" customHeight="1">
      <c r="A62" s="24" t="n">
        <v>60</v>
      </c>
      <c r="B62" s="24" t="inlineStr">
        <is>
          <t>2643.0401</t>
        </is>
      </c>
      <c r="C62" s="24" t="inlineStr">
        <is>
          <t>Language Translator-Software Products</t>
        </is>
      </c>
      <c r="D62" s="25" t="inlineStr">
        <is>
          <t>Language Translator-Software Products is responsible for translating software into different languages that end-users may be well-versed with. These extend beyond regular language translator roles as they require understanding of the software languages and platforms.</t>
        </is>
      </c>
      <c r="E62" s="26" t="n"/>
      <c r="F62" s="26" t="n"/>
      <c r="G62" s="26" t="n"/>
      <c r="H62" s="26" t="n"/>
      <c r="I62" s="26" t="n"/>
      <c r="J62" s="26" t="n"/>
      <c r="K62" s="27" t="n"/>
      <c r="L62" s="27" t="n"/>
      <c r="M62" s="27" t="n"/>
      <c r="N62" s="27" t="n"/>
      <c r="O62" s="27" t="n"/>
      <c r="P62" s="26" t="n"/>
      <c r="Q62" s="26" t="n"/>
      <c r="R62" s="26" t="n"/>
      <c r="S62" s="26" t="n"/>
      <c r="T62" s="26" t="n"/>
      <c r="U62" s="26" t="n"/>
      <c r="V62" s="26" t="n"/>
      <c r="W62" s="26" t="n"/>
      <c r="X62" s="27" t="n"/>
      <c r="Y62" s="28">
        <f>IF(COUNTA(E62:J62,P62:W62)=0,"Not started",IF(COUNTA(E62:J62,P62:W62)&lt;14,"Incomplete",IF((AND(F62&lt;&gt;"",F62&amp;""&lt;&gt;"0",TRIM(K62)="")+AND(G62&lt;&gt;"",G62&amp;""&lt;&gt;"0",TRIM(L62)="")+AND(H62&lt;&gt;"",H62&amp;""&lt;&gt;"0",TRIM(M62)="")+AND(I62&lt;&gt;"",I62&amp;""&lt;&gt;"0",TRIM(N62)="")+AND(J62&lt;&gt;"",J62&amp;""&lt;&gt;"0",TRIM(O62)=""))&gt;0,"Add evidence","Complete")))</f>
        <v/>
      </c>
      <c r="Z62" s="24" t="inlineStr">
        <is>
          <t>2643</t>
        </is>
      </c>
      <c r="AA62" s="24" t="inlineStr">
        <is>
          <t>Translators, Interpreters and Other Linguists</t>
        </is>
      </c>
      <c r="AB62" s="24" t="inlineStr">
        <is>
          <t>264</t>
        </is>
      </c>
      <c r="AC62" s="24" t="inlineStr">
        <is>
          <t>Authors, Journalists and Linguists</t>
        </is>
      </c>
      <c r="AD62" s="24" t="n">
        <v>2</v>
      </c>
      <c r="AE62" s="24" t="inlineStr">
        <is>
          <t>Professionals</t>
        </is>
      </c>
      <c r="AF62" s="24" t="inlineStr">
        <is>
          <t>4</t>
        </is>
      </c>
      <c r="AG62" s="24" t="n"/>
      <c r="AH62" s="24" t="inlineStr">
        <is>
          <t>SSC/Q6802</t>
        </is>
      </c>
      <c r="AI62" s="24" t="n"/>
    </row>
    <row r="63" ht="85.19999999999999" customHeight="1">
      <c r="A63" s="24" t="n">
        <v>61</v>
      </c>
      <c r="B63" s="24" t="inlineStr">
        <is>
          <t>2659.1000</t>
        </is>
      </c>
      <c r="C63" s="24" t="inlineStr">
        <is>
          <t>Juggler</t>
        </is>
      </c>
      <c r="D63" s="25" t="inlineStr">
        <is>
          <t>Juggler juggles and balances, objects such as balls, rings, bottles, cylinders, knives, plates and hats, to entertain audience. Arranges objects such as balls, rings, and plates, on table or ground. Takes objects one by one and throws them high up in quick succession and catches them while falling without dropping them on floor and performs various other feats of jugglery for amusement of audience. May use sharp weapons such as knives, spears to exhibit skill in performance. May perform, feats in solo, in pairs, or team.</t>
        </is>
      </c>
      <c r="E63" s="26" t="n"/>
      <c r="F63" s="26" t="n"/>
      <c r="G63" s="26" t="n"/>
      <c r="H63" s="26" t="n"/>
      <c r="I63" s="26" t="n"/>
      <c r="J63" s="26" t="n"/>
      <c r="K63" s="27" t="n"/>
      <c r="L63" s="27" t="n"/>
      <c r="M63" s="27" t="n"/>
      <c r="N63" s="27" t="n"/>
      <c r="O63" s="27" t="n"/>
      <c r="P63" s="26" t="n"/>
      <c r="Q63" s="26" t="n"/>
      <c r="R63" s="26" t="n"/>
      <c r="S63" s="26" t="n"/>
      <c r="T63" s="26" t="n"/>
      <c r="U63" s="26" t="n"/>
      <c r="V63" s="26" t="n"/>
      <c r="W63" s="26" t="n"/>
      <c r="X63" s="27" t="n"/>
      <c r="Y63" s="28">
        <f>IF(COUNTA(E63:J63,P63:W63)=0,"Not started",IF(COUNTA(E63:J63,P63:W63)&lt;14,"Incomplete",IF((AND(F63&lt;&gt;"",F63&amp;""&lt;&gt;"0",TRIM(K63)="")+AND(G63&lt;&gt;"",G63&amp;""&lt;&gt;"0",TRIM(L63)="")+AND(H63&lt;&gt;"",H63&amp;""&lt;&gt;"0",TRIM(M63)="")+AND(I63&lt;&gt;"",I63&amp;""&lt;&gt;"0",TRIM(N63)="")+AND(J63&lt;&gt;"",J63&amp;""&lt;&gt;"0",TRIM(O63)=""))&gt;0,"Add evidence","Complete")))</f>
        <v/>
      </c>
      <c r="Z63" s="24" t="inlineStr">
        <is>
          <t>2659</t>
        </is>
      </c>
      <c r="AA63" s="24" t="inlineStr">
        <is>
          <t>Creative and Performing Artists Not Elsewhere Classified</t>
        </is>
      </c>
      <c r="AB63" s="24" t="inlineStr">
        <is>
          <t>265</t>
        </is>
      </c>
      <c r="AC63" s="24" t="inlineStr">
        <is>
          <t>Creative and Performing Artists</t>
        </is>
      </c>
      <c r="AD63" s="24" t="n">
        <v>2</v>
      </c>
      <c r="AE63" s="24" t="inlineStr">
        <is>
          <t>Professionals</t>
        </is>
      </c>
      <c r="AF63" s="24" t="inlineStr">
        <is>
          <t>4</t>
        </is>
      </c>
      <c r="AG63" s="24" t="inlineStr">
        <is>
          <t>3474.55</t>
        </is>
      </c>
      <c r="AH63" s="24" t="n"/>
      <c r="AI63" s="24" t="n"/>
    </row>
    <row r="64" ht="256.8" customHeight="1">
      <c r="A64" s="24" t="n">
        <v>62</v>
      </c>
      <c r="B64" s="24" t="inlineStr">
        <is>
          <t>3114.0100</t>
        </is>
      </c>
      <c r="C64" s="24" t="inlineStr">
        <is>
          <t>Electronics Technician</t>
        </is>
      </c>
      <c r="D64" s="25" t="inlineStr">
        <is>
          <t>Electronic, Technician applies electronic theory, principles of electrical circuits, electrical testing procedures, engineering mathematics, physics and related subjects to layout, build, test;, troubleshoot, repair and modify developmental and production electronic equipment such as computers, missile control instrumentation and machine tool numerical controls. Draws sketches to clarify design details and functional criteria of electronic units. Assembles experimental circuitry (bread board) or complete prototype model according to engineering instructions, technical manuals and knowledge of electronic systems and components and their functions. Recommends changes in circuitry or installation specifications to simplify assembly and maintenance. Sets up standard test apparatus or contrives test equipment and circuit, and conducts functional, operational, environmental and life tests to evaluate performance and reliability of prototype or production model. Analyses and interprets test data. Adjusts, calibrates, aligns and modifies circuit and components and records effects on unit performance. Writes technical reports and develops charts, graphs and schematics to describe and illustrate systems operating characteristics, malfunctions, deviations from design specifications and functional limitations for consideration by professional engineering personnel in broader determinations affecting systems design and laboratory procedures. May operate bench lathes, drills and other machine tools to fabricate non-procurable items, such as coils, terminal boards and chassis. May check out newly installed equipment in airplanes, ships and structure to evaluate system performance under actual operating conditions. May instruct and supervise lower grade technical personnel</t>
        </is>
      </c>
      <c r="E64" s="26" t="n"/>
      <c r="F64" s="26" t="n"/>
      <c r="G64" s="26" t="n"/>
      <c r="H64" s="26" t="n"/>
      <c r="I64" s="26" t="n"/>
      <c r="J64" s="26" t="n"/>
      <c r="K64" s="27" t="n"/>
      <c r="L64" s="27" t="n"/>
      <c r="M64" s="27" t="n"/>
      <c r="N64" s="27" t="n"/>
      <c r="O64" s="27" t="n"/>
      <c r="P64" s="26" t="n"/>
      <c r="Q64" s="26" t="n"/>
      <c r="R64" s="26" t="n"/>
      <c r="S64" s="26" t="n"/>
      <c r="T64" s="26" t="n"/>
      <c r="U64" s="26" t="n"/>
      <c r="V64" s="26" t="n"/>
      <c r="W64" s="26" t="n"/>
      <c r="X64" s="27" t="n"/>
      <c r="Y64" s="28">
        <f>IF(COUNTA(E64:J64,P64:W64)=0,"Not started",IF(COUNTA(E64:J64,P64:W64)&lt;14,"Incomplete",IF((AND(F64&lt;&gt;"",F64&amp;""&lt;&gt;"0",TRIM(K64)="")+AND(G64&lt;&gt;"",G64&amp;""&lt;&gt;"0",TRIM(L64)="")+AND(H64&lt;&gt;"",H64&amp;""&lt;&gt;"0",TRIM(M64)="")+AND(I64&lt;&gt;"",I64&amp;""&lt;&gt;"0",TRIM(N64)="")+AND(J64&lt;&gt;"",J64&amp;""&lt;&gt;"0",TRIM(O64)=""))&gt;0,"Add evidence","Complete")))</f>
        <v/>
      </c>
      <c r="Z64" s="24" t="inlineStr">
        <is>
          <t>3114</t>
        </is>
      </c>
      <c r="AA64" s="24" t="inlineStr">
        <is>
          <t>Electronics Engineering Technicians</t>
        </is>
      </c>
      <c r="AB64" s="24" t="inlineStr">
        <is>
          <t>311</t>
        </is>
      </c>
      <c r="AC64" s="24" t="inlineStr">
        <is>
          <t>Physical and Engineering Science Technicians</t>
        </is>
      </c>
      <c r="AD64" s="24" t="n">
        <v>3</v>
      </c>
      <c r="AE64" s="24" t="inlineStr">
        <is>
          <t>Technicians and Associate Professionals</t>
        </is>
      </c>
      <c r="AF64" s="24" t="inlineStr">
        <is>
          <t>3</t>
        </is>
      </c>
      <c r="AG64" s="24" t="inlineStr">
        <is>
          <t>3114.10</t>
        </is>
      </c>
      <c r="AH64" s="24" t="n"/>
      <c r="AI64" s="24" t="n"/>
    </row>
    <row r="65" ht="32.4" customHeight="1">
      <c r="A65" s="24" t="n">
        <v>63</v>
      </c>
      <c r="B65" s="24" t="inlineStr">
        <is>
          <t>3114.1301</t>
        </is>
      </c>
      <c r="C65" s="24" t="inlineStr">
        <is>
          <t>Network Management Engineer</t>
        </is>
      </c>
      <c r="D65" s="25" t="inlineStr">
        <is>
          <t>Network Management Engineer is responsible for provisioning of end to end circuit and managing network elements from a Centralized server called Network Management System.</t>
        </is>
      </c>
      <c r="E65" s="26" t="n"/>
      <c r="F65" s="26" t="n"/>
      <c r="G65" s="26" t="n"/>
      <c r="H65" s="26" t="n"/>
      <c r="I65" s="26" t="n"/>
      <c r="J65" s="26" t="n"/>
      <c r="K65" s="27" t="n"/>
      <c r="L65" s="27" t="n"/>
      <c r="M65" s="27" t="n"/>
      <c r="N65" s="27" t="n"/>
      <c r="O65" s="27" t="n"/>
      <c r="P65" s="26" t="n"/>
      <c r="Q65" s="26" t="n"/>
      <c r="R65" s="26" t="n"/>
      <c r="S65" s="26" t="n"/>
      <c r="T65" s="26" t="n"/>
      <c r="U65" s="26" t="n"/>
      <c r="V65" s="26" t="n"/>
      <c r="W65" s="26" t="n"/>
      <c r="X65" s="27" t="n"/>
      <c r="Y65" s="28">
        <f>IF(COUNTA(E65:J65,P65:W65)=0,"Not started",IF(COUNTA(E65:J65,P65:W65)&lt;14,"Incomplete",IF((AND(F65&lt;&gt;"",F65&amp;""&lt;&gt;"0",TRIM(K65)="")+AND(G65&lt;&gt;"",G65&amp;""&lt;&gt;"0",TRIM(L65)="")+AND(H65&lt;&gt;"",H65&amp;""&lt;&gt;"0",TRIM(M65)="")+AND(I65&lt;&gt;"",I65&amp;""&lt;&gt;"0",TRIM(N65)="")+AND(J65&lt;&gt;"",J65&amp;""&lt;&gt;"0",TRIM(O65)=""))&gt;0,"Add evidence","Complete")))</f>
        <v/>
      </c>
      <c r="Z65" s="24" t="inlineStr">
        <is>
          <t>3114</t>
        </is>
      </c>
      <c r="AA65" s="24" t="inlineStr">
        <is>
          <t>Electronics Engineering Technicians</t>
        </is>
      </c>
      <c r="AB65" s="24" t="inlineStr">
        <is>
          <t>311</t>
        </is>
      </c>
      <c r="AC65" s="24" t="inlineStr">
        <is>
          <t>Physical and Engineering Science Technicians</t>
        </is>
      </c>
      <c r="AD65" s="24" t="n">
        <v>3</v>
      </c>
      <c r="AE65" s="24" t="inlineStr">
        <is>
          <t>Technicians and Associate Professionals</t>
        </is>
      </c>
      <c r="AF65" s="24" t="inlineStr">
        <is>
          <t>3</t>
        </is>
      </c>
      <c r="AG65" s="24" t="n"/>
      <c r="AH65" s="24" t="inlineStr">
        <is>
          <t>TEL/Q6302</t>
        </is>
      </c>
      <c r="AI65" s="24" t="n"/>
    </row>
    <row r="66" ht="32.4" customHeight="1">
      <c r="A66" s="24" t="n">
        <v>64</v>
      </c>
      <c r="B66" s="24" t="inlineStr">
        <is>
          <t>3115.0301</t>
        </is>
      </c>
      <c r="C66" s="24" t="inlineStr">
        <is>
          <t>Executive, Proto Manufacturing</t>
        </is>
      </c>
      <c r="D66" s="25" t="inlineStr">
        <is>
          <t>Executive, Proto Manufacturing needs to co-ordinate with different departments and functions for manufacturing of prototype vehicle/parts that will finally be used for testing and validation.</t>
        </is>
      </c>
      <c r="E66" s="26" t="n"/>
      <c r="F66" s="26" t="n"/>
      <c r="G66" s="26" t="n"/>
      <c r="H66" s="26" t="n"/>
      <c r="I66" s="26" t="n"/>
      <c r="J66" s="26" t="n"/>
      <c r="K66" s="27" t="n"/>
      <c r="L66" s="27" t="n"/>
      <c r="M66" s="27" t="n"/>
      <c r="N66" s="27" t="n"/>
      <c r="O66" s="27" t="n"/>
      <c r="P66" s="26" t="n"/>
      <c r="Q66" s="26" t="n"/>
      <c r="R66" s="26" t="n"/>
      <c r="S66" s="26" t="n"/>
      <c r="T66" s="26" t="n"/>
      <c r="U66" s="26" t="n"/>
      <c r="V66" s="26" t="n"/>
      <c r="W66" s="26" t="n"/>
      <c r="X66" s="27" t="n"/>
      <c r="Y66" s="28">
        <f>IF(COUNTA(E66:J66,P66:W66)=0,"Not started",IF(COUNTA(E66:J66,P66:W66)&lt;14,"Incomplete",IF((AND(F66&lt;&gt;"",F66&amp;""&lt;&gt;"0",TRIM(K66)="")+AND(G66&lt;&gt;"",G66&amp;""&lt;&gt;"0",TRIM(L66)="")+AND(H66&lt;&gt;"",H66&amp;""&lt;&gt;"0",TRIM(M66)="")+AND(I66&lt;&gt;"",I66&amp;""&lt;&gt;"0",TRIM(N66)="")+AND(J66&lt;&gt;"",J66&amp;""&lt;&gt;"0",TRIM(O66)=""))&gt;0,"Add evidence","Complete")))</f>
        <v/>
      </c>
      <c r="Z66" s="24" t="inlineStr">
        <is>
          <t>3115</t>
        </is>
      </c>
      <c r="AA66" s="24" t="inlineStr">
        <is>
          <t>Mechanical Engineering Technicians</t>
        </is>
      </c>
      <c r="AB66" s="24" t="inlineStr">
        <is>
          <t>311</t>
        </is>
      </c>
      <c r="AC66" s="24" t="inlineStr">
        <is>
          <t>Physical and Engineering Science Technicians</t>
        </is>
      </c>
      <c r="AD66" s="24" t="n">
        <v>3</v>
      </c>
      <c r="AE66" s="24" t="inlineStr">
        <is>
          <t>Technicians and Associate Professionals</t>
        </is>
      </c>
      <c r="AF66" s="24" t="inlineStr">
        <is>
          <t>3</t>
        </is>
      </c>
      <c r="AG66" s="24" t="n"/>
      <c r="AH66" s="24" t="inlineStr">
        <is>
          <t>ASC/Q6501</t>
        </is>
      </c>
      <c r="AI66" s="24" t="n"/>
    </row>
    <row r="67" ht="58.8" customHeight="1">
      <c r="A67" s="24" t="n">
        <v>65</v>
      </c>
      <c r="B67" s="24" t="inlineStr">
        <is>
          <t>3115.0501</t>
        </is>
      </c>
      <c r="C67" s="24" t="inlineStr">
        <is>
          <t>Manager Maintenance Mechanical and Electrical</t>
        </is>
      </c>
      <c r="D67" s="25" t="inlineStr">
        <is>
          <t>Individuals at this job are responsible for maintaining status of continuous running of equipment and machinery. They use computerized systems to oversee routine maintenance and organize repairs. They are also involved in control and monitoring devices and occasionally in the manufacture of items that will help in maintenance.</t>
        </is>
      </c>
      <c r="E67" s="26" t="n"/>
      <c r="F67" s="26" t="n"/>
      <c r="G67" s="26" t="n"/>
      <c r="H67" s="26" t="n"/>
      <c r="I67" s="26" t="n"/>
      <c r="J67" s="26" t="n"/>
      <c r="K67" s="27" t="n"/>
      <c r="L67" s="27" t="n"/>
      <c r="M67" s="27" t="n"/>
      <c r="N67" s="27" t="n"/>
      <c r="O67" s="27" t="n"/>
      <c r="P67" s="26" t="n"/>
      <c r="Q67" s="26" t="n"/>
      <c r="R67" s="26" t="n"/>
      <c r="S67" s="26" t="n"/>
      <c r="T67" s="26" t="n"/>
      <c r="U67" s="26" t="n"/>
      <c r="V67" s="26" t="n"/>
      <c r="W67" s="26" t="n"/>
      <c r="X67" s="27" t="n"/>
      <c r="Y67" s="28">
        <f>IF(COUNTA(E67:J67,P67:W67)=0,"Not started",IF(COUNTA(E67:J67,P67:W67)&lt;14,"Incomplete",IF((AND(F67&lt;&gt;"",F67&amp;""&lt;&gt;"0",TRIM(K67)="")+AND(G67&lt;&gt;"",G67&amp;""&lt;&gt;"0",TRIM(L67)="")+AND(H67&lt;&gt;"",H67&amp;""&lt;&gt;"0",TRIM(M67)="")+AND(I67&lt;&gt;"",I67&amp;""&lt;&gt;"0",TRIM(N67)="")+AND(J67&lt;&gt;"",J67&amp;""&lt;&gt;"0",TRIM(O67)=""))&gt;0,"Add evidence","Complete")))</f>
        <v/>
      </c>
      <c r="Z67" s="24" t="inlineStr">
        <is>
          <t>3115</t>
        </is>
      </c>
      <c r="AA67" s="24" t="inlineStr">
        <is>
          <t>Mechanical Engineering Technicians</t>
        </is>
      </c>
      <c r="AB67" s="24" t="inlineStr">
        <is>
          <t>311</t>
        </is>
      </c>
      <c r="AC67" s="24" t="inlineStr">
        <is>
          <t>Physical and Engineering Science Technicians</t>
        </is>
      </c>
      <c r="AD67" s="24" t="n">
        <v>3</v>
      </c>
      <c r="AE67" s="24" t="inlineStr">
        <is>
          <t>Technicians and Associate Professionals</t>
        </is>
      </c>
      <c r="AF67" s="24" t="inlineStr">
        <is>
          <t>3</t>
        </is>
      </c>
      <c r="AG67" s="24" t="n"/>
      <c r="AH67" s="24" t="inlineStr">
        <is>
          <t>ASC/Q6801</t>
        </is>
      </c>
      <c r="AI67" s="24" t="n"/>
    </row>
    <row r="68" ht="72" customHeight="1">
      <c r="A68" s="24" t="n">
        <v>66</v>
      </c>
      <c r="B68" s="24" t="inlineStr">
        <is>
          <t>3117.0300</t>
        </is>
      </c>
      <c r="C68" s="24" t="inlineStr">
        <is>
          <t>Laboratory Assistant, Metallurgical</t>
        </is>
      </c>
      <c r="D68" s="25" t="inlineStr">
        <is>
          <t>Laboratory Assistant, Metallurgical conducts routine tests of metals and alloys to determine their physical and chemical properties. Collects metallic wastes, metal samples or ores to be examined. Sets up scientific equipment required for testing. Assist Metallurgist in testing and analysing different types of metals, their by-products, waste and alloys. May conduct examination of metals on his initiative independently</t>
        </is>
      </c>
      <c r="E68" s="26" t="n"/>
      <c r="F68" s="26" t="n"/>
      <c r="G68" s="26" t="n"/>
      <c r="H68" s="26" t="n"/>
      <c r="I68" s="26" t="n"/>
      <c r="J68" s="26" t="n"/>
      <c r="K68" s="27" t="n"/>
      <c r="L68" s="27" t="n"/>
      <c r="M68" s="27" t="n"/>
      <c r="N68" s="27" t="n"/>
      <c r="O68" s="27" t="n"/>
      <c r="P68" s="26" t="n"/>
      <c r="Q68" s="26" t="n"/>
      <c r="R68" s="26" t="n"/>
      <c r="S68" s="26" t="n"/>
      <c r="T68" s="26" t="n"/>
      <c r="U68" s="26" t="n"/>
      <c r="V68" s="26" t="n"/>
      <c r="W68" s="26" t="n"/>
      <c r="X68" s="27" t="n"/>
      <c r="Y68" s="28">
        <f>IF(COUNTA(E68:J68,P68:W68)=0,"Not started",IF(COUNTA(E68:J68,P68:W68)&lt;14,"Incomplete",IF((AND(F68&lt;&gt;"",F68&amp;""&lt;&gt;"0",TRIM(K68)="")+AND(G68&lt;&gt;"",G68&amp;""&lt;&gt;"0",TRIM(L68)="")+AND(H68&lt;&gt;"",H68&amp;""&lt;&gt;"0",TRIM(M68)="")+AND(I68&lt;&gt;"",I68&amp;""&lt;&gt;"0",TRIM(N68)="")+AND(J68&lt;&gt;"",J68&amp;""&lt;&gt;"0",TRIM(O68)=""))&gt;0,"Add evidence","Complete")))</f>
        <v/>
      </c>
      <c r="Z68" s="24" t="inlineStr">
        <is>
          <t>3117</t>
        </is>
      </c>
      <c r="AA68" s="24" t="inlineStr">
        <is>
          <t>Mining and Metallurgical Technicians</t>
        </is>
      </c>
      <c r="AB68" s="24" t="inlineStr">
        <is>
          <t>311</t>
        </is>
      </c>
      <c r="AC68" s="24" t="inlineStr">
        <is>
          <t>Physical and Engineering Science Technicians</t>
        </is>
      </c>
      <c r="AD68" s="24" t="n">
        <v>3</v>
      </c>
      <c r="AE68" s="24" t="inlineStr">
        <is>
          <t>Technicians and Associate Professionals</t>
        </is>
      </c>
      <c r="AF68" s="24" t="inlineStr">
        <is>
          <t>3</t>
        </is>
      </c>
      <c r="AG68" s="24" t="inlineStr">
        <is>
          <t>3117.30</t>
        </is>
      </c>
      <c r="AH68" s="24" t="n"/>
      <c r="AI68" s="24" t="n"/>
    </row>
    <row r="69" ht="32.4" customHeight="1">
      <c r="A69" s="24" t="n">
        <v>67</v>
      </c>
      <c r="B69" s="24" t="inlineStr">
        <is>
          <t>3119.9900</t>
        </is>
      </c>
      <c r="C69" s="24" t="inlineStr">
        <is>
          <t>Optical and Electronic Equipment Controllers, Other</t>
        </is>
      </c>
      <c r="D69" s="25" t="inlineStr">
        <is>
          <t>Optical and Electronic Equipment Operators, other include all other Technicians engaged in optical and electronic equipment operations not elsewhere classified.</t>
        </is>
      </c>
      <c r="E69" s="26" t="n"/>
      <c r="F69" s="26" t="n"/>
      <c r="G69" s="26" t="n"/>
      <c r="H69" s="26" t="n"/>
      <c r="I69" s="26" t="n"/>
      <c r="J69" s="26" t="n"/>
      <c r="K69" s="27" t="n"/>
      <c r="L69" s="27" t="n"/>
      <c r="M69" s="27" t="n"/>
      <c r="N69" s="27" t="n"/>
      <c r="O69" s="27" t="n"/>
      <c r="P69" s="26" t="n"/>
      <c r="Q69" s="26" t="n"/>
      <c r="R69" s="26" t="n"/>
      <c r="S69" s="26" t="n"/>
      <c r="T69" s="26" t="n"/>
      <c r="U69" s="26" t="n"/>
      <c r="V69" s="26" t="n"/>
      <c r="W69" s="26" t="n"/>
      <c r="X69" s="27" t="n"/>
      <c r="Y69" s="28">
        <f>IF(COUNTA(E69:J69,P69:W69)=0,"Not started",IF(COUNTA(E69:J69,P69:W69)&lt;14,"Incomplete",IF((AND(F69&lt;&gt;"",F69&amp;""&lt;&gt;"0",TRIM(K69)="")+AND(G69&lt;&gt;"",G69&amp;""&lt;&gt;"0",TRIM(L69)="")+AND(H69&lt;&gt;"",H69&amp;""&lt;&gt;"0",TRIM(M69)="")+AND(I69&lt;&gt;"",I69&amp;""&lt;&gt;"0",TRIM(N69)="")+AND(J69&lt;&gt;"",J69&amp;""&lt;&gt;"0",TRIM(O69)=""))&gt;0,"Add evidence","Complete")))</f>
        <v/>
      </c>
      <c r="Z69" s="24" t="inlineStr">
        <is>
          <t>3119</t>
        </is>
      </c>
      <c r="AA69" s="24" t="inlineStr">
        <is>
          <t>Physical and Engineering Science Technicians Not Elsewhere Classified</t>
        </is>
      </c>
      <c r="AB69" s="24" t="inlineStr">
        <is>
          <t>311</t>
        </is>
      </c>
      <c r="AC69" s="24" t="inlineStr">
        <is>
          <t>Physical and Engineering Science Technicians</t>
        </is>
      </c>
      <c r="AD69" s="24" t="n">
        <v>3</v>
      </c>
      <c r="AE69" s="24" t="inlineStr">
        <is>
          <t>Technicians and Associate Professionals</t>
        </is>
      </c>
      <c r="AF69" s="24" t="inlineStr">
        <is>
          <t>3</t>
        </is>
      </c>
      <c r="AG69" s="24" t="inlineStr">
        <is>
          <t>3139.90</t>
        </is>
      </c>
      <c r="AH69" s="24" t="n"/>
      <c r="AI69" s="24" t="n"/>
    </row>
    <row r="70" ht="164.4" customHeight="1">
      <c r="A70" s="24" t="n">
        <v>68</v>
      </c>
      <c r="B70" s="24" t="inlineStr">
        <is>
          <t>3122.1300</t>
        </is>
      </c>
      <c r="C70" s="24" t="inlineStr">
        <is>
          <t>Supervisor and Foreman, Chemical Processing and Related Activities</t>
        </is>
      </c>
      <c r="D70" s="25" t="inlineStr">
        <is>
          <t>Supervisor and Foreman, Chemical Processing and Related Activities (Excepting Petroleum) supervises and guides workers engaged in various chemical and related operations and ensures safety of workers and correct performance. Guides workers in setting and operating machines and plants for chemical and related processes such as crushing, grinding, mixing, cooking, roasting, making solutions, precipitating, filtering, operating stills and reactors, etc., and ensures correct performance. Gets samples tested or conducts shop tests as prescribed, and directs necessary adjustments to get specified results. Arranges for men and material as required and ensures safety of plants and workers supervised. Ensures compliance with rules and regulations binding on chemical factories and takes appropriate emergency measures as necessary. Maintains records and registers and submits returns as prescribed. May set machines and plants, perform chemical and related tests and train workers in handling plants and equipment. May be designated according to section or work supervised. (Excluded are chemists and chemical engineers, described elsewhere).</t>
        </is>
      </c>
      <c r="E70" s="26" t="n"/>
      <c r="F70" s="26" t="n"/>
      <c r="G70" s="26" t="n"/>
      <c r="H70" s="26" t="n"/>
      <c r="I70" s="26" t="n"/>
      <c r="J70" s="26" t="n"/>
      <c r="K70" s="27" t="n"/>
      <c r="L70" s="27" t="n"/>
      <c r="M70" s="27" t="n"/>
      <c r="N70" s="27" t="n"/>
      <c r="O70" s="27" t="n"/>
      <c r="P70" s="26" t="n"/>
      <c r="Q70" s="26" t="n"/>
      <c r="R70" s="26" t="n"/>
      <c r="S70" s="26" t="n"/>
      <c r="T70" s="26" t="n"/>
      <c r="U70" s="26" t="n"/>
      <c r="V70" s="26" t="n"/>
      <c r="W70" s="26" t="n"/>
      <c r="X70" s="27" t="n"/>
      <c r="Y70" s="28">
        <f>IF(COUNTA(E70:J70,P70:W70)=0,"Not started",IF(COUNTA(E70:J70,P70:W70)&lt;14,"Incomplete",IF((AND(F70&lt;&gt;"",F70&amp;""&lt;&gt;"0",TRIM(K70)="")+AND(G70&lt;&gt;"",G70&amp;""&lt;&gt;"0",TRIM(L70)="")+AND(H70&lt;&gt;"",H70&amp;""&lt;&gt;"0",TRIM(M70)="")+AND(I70&lt;&gt;"",I70&amp;""&lt;&gt;"0",TRIM(N70)="")+AND(J70&lt;&gt;"",J70&amp;""&lt;&gt;"0",TRIM(O70)=""))&gt;0,"Add evidence","Complete")))</f>
        <v/>
      </c>
      <c r="Z70" s="24" t="inlineStr">
        <is>
          <t>3122</t>
        </is>
      </c>
      <c r="AA70" s="24" t="inlineStr">
        <is>
          <t>Manufacturing Supervisors</t>
        </is>
      </c>
      <c r="AB70" s="24" t="inlineStr">
        <is>
          <t>312</t>
        </is>
      </c>
      <c r="AC70" s="24" t="inlineStr">
        <is>
          <t>Mining, Manufacturing and Construction Supervisors</t>
        </is>
      </c>
      <c r="AD70" s="24" t="n">
        <v>3</v>
      </c>
      <c r="AE70" s="24" t="inlineStr">
        <is>
          <t>Technicians and Associate Professionals</t>
        </is>
      </c>
      <c r="AF70" s="24" t="inlineStr">
        <is>
          <t>3</t>
        </is>
      </c>
      <c r="AG70" s="24" t="n"/>
      <c r="AH70" s="24" t="n"/>
      <c r="AI70" s="24" t="n"/>
    </row>
    <row r="71" ht="124.8" customHeight="1">
      <c r="A71" s="24" t="n">
        <v>69</v>
      </c>
      <c r="B71" s="24" t="inlineStr">
        <is>
          <t>3122.2100</t>
        </is>
      </c>
      <c r="C71" s="24" t="inlineStr">
        <is>
          <t>Supervisor and Foreman, Plastic Products Making</t>
        </is>
      </c>
      <c r="D71" s="25" t="inlineStr">
        <is>
          <t>Supervisor and Foreman, Plastics Product Making supervises various plastics product manufacturing processes and ensures proper use of men and materials. Studies specifications, arranges for materials, tools and equipment and guides setting of machines, tools, din, moulds, etc., according to type of article to be made. Gets trial piece made, checks it for dimensions, form and composition and makes alterations if necessary to ensure conformation to prescribed specifications. Supervises machine and other manufacturing processes such as extruding, moulding, injecting of material, etc. and ensures correct production. Maintains necessary records, ensures proper use of men and material and develops methods to minimise wastage. May conduct running repairs of machines and equipment to keep them in working condition.</t>
        </is>
      </c>
      <c r="E71" s="26" t="n"/>
      <c r="F71" s="26" t="n"/>
      <c r="G71" s="26" t="n"/>
      <c r="H71" s="26" t="n"/>
      <c r="I71" s="26" t="n"/>
      <c r="J71" s="26" t="n"/>
      <c r="K71" s="27" t="n"/>
      <c r="L71" s="27" t="n"/>
      <c r="M71" s="27" t="n"/>
      <c r="N71" s="27" t="n"/>
      <c r="O71" s="27" t="n"/>
      <c r="P71" s="26" t="n"/>
      <c r="Q71" s="26" t="n"/>
      <c r="R71" s="26" t="n"/>
      <c r="S71" s="26" t="n"/>
      <c r="T71" s="26" t="n"/>
      <c r="U71" s="26" t="n"/>
      <c r="V71" s="26" t="n"/>
      <c r="W71" s="26" t="n"/>
      <c r="X71" s="27" t="n"/>
      <c r="Y71" s="28">
        <f>IF(COUNTA(E71:J71,P71:W71)=0,"Not started",IF(COUNTA(E71:J71,P71:W71)&lt;14,"Incomplete",IF((AND(F71&lt;&gt;"",F71&amp;""&lt;&gt;"0",TRIM(K71)="")+AND(G71&lt;&gt;"",G71&amp;""&lt;&gt;"0",TRIM(L71)="")+AND(H71&lt;&gt;"",H71&amp;""&lt;&gt;"0",TRIM(M71)="")+AND(I71&lt;&gt;"",I71&amp;""&lt;&gt;"0",TRIM(N71)="")+AND(J71&lt;&gt;"",J71&amp;""&lt;&gt;"0",TRIM(O71)=""))&gt;0,"Add evidence","Complete")))</f>
        <v/>
      </c>
      <c r="Z71" s="24" t="inlineStr">
        <is>
          <t>3122</t>
        </is>
      </c>
      <c r="AA71" s="24" t="inlineStr">
        <is>
          <t>Manufacturing Supervisors</t>
        </is>
      </c>
      <c r="AB71" s="24" t="inlineStr">
        <is>
          <t>312</t>
        </is>
      </c>
      <c r="AC71" s="24" t="inlineStr">
        <is>
          <t>Mining, Manufacturing and Construction Supervisors</t>
        </is>
      </c>
      <c r="AD71" s="24" t="n">
        <v>3</v>
      </c>
      <c r="AE71" s="24" t="inlineStr">
        <is>
          <t>Technicians and Associate Professionals</t>
        </is>
      </c>
      <c r="AF71" s="24" t="inlineStr">
        <is>
          <t>3</t>
        </is>
      </c>
      <c r="AG71" s="24" t="inlineStr">
        <is>
          <t>8238.20</t>
        </is>
      </c>
      <c r="AH71" s="24" t="n"/>
      <c r="AI71" s="24" t="n"/>
    </row>
    <row r="72" ht="138" customHeight="1">
      <c r="A72" s="24" t="n">
        <v>70</v>
      </c>
      <c r="B72" s="24" t="inlineStr">
        <is>
          <t>3122.4900</t>
        </is>
      </c>
      <c r="C72" s="24" t="inlineStr">
        <is>
          <t>Supervisor and Foreman, Blacksmith</t>
        </is>
      </c>
      <c r="D72" s="25" t="inlineStr">
        <is>
          <t>Supervisor and Foreman, Blacksmith supervises general or mechanised blacksmith shop and ensures correct production. Studies samples or drawing of metal to be forged or item to be made. Selects metal as specified and instructs workers on heating and forging temperatures, sizes to be made, blocks and dies to be used, etc., as required. Observes heating, stamping, machine forging, hand forging and other blacksmithy operations and guides workers as necessary. Ensures correct working, sizes forged and gets defects removed as noticed. Gets furnaces and machines overhauled and repaired as necessary and maintains them in proper working order. Prevents wastage of materials, enforces discipline and safety measures and serves as liaison between workers and management. Maintains prescribed records and registers and replenishes tools and shop material stock as Scheduled. May supervise normalising, tempering and other heat treating operations.</t>
        </is>
      </c>
      <c r="E72" s="26" t="n"/>
      <c r="F72" s="26" t="n"/>
      <c r="G72" s="26" t="n"/>
      <c r="H72" s="26" t="n"/>
      <c r="I72" s="26" t="n"/>
      <c r="J72" s="26" t="n"/>
      <c r="K72" s="27" t="n"/>
      <c r="L72" s="27" t="n"/>
      <c r="M72" s="27" t="n"/>
      <c r="N72" s="27" t="n"/>
      <c r="O72" s="27" t="n"/>
      <c r="P72" s="26" t="n"/>
      <c r="Q72" s="26" t="n"/>
      <c r="R72" s="26" t="n"/>
      <c r="S72" s="26" t="n"/>
      <c r="T72" s="26" t="n"/>
      <c r="U72" s="26" t="n"/>
      <c r="V72" s="26" t="n"/>
      <c r="W72" s="26" t="n"/>
      <c r="X72" s="27" t="n"/>
      <c r="Y72" s="28">
        <f>IF(COUNTA(E72:J72,P72:W72)=0,"Not started",IF(COUNTA(E72:J72,P72:W72)&lt;14,"Incomplete",IF((AND(F72&lt;&gt;"",F72&amp;""&lt;&gt;"0",TRIM(K72)="")+AND(G72&lt;&gt;"",G72&amp;""&lt;&gt;"0",TRIM(L72)="")+AND(H72&lt;&gt;"",H72&amp;""&lt;&gt;"0",TRIM(M72)="")+AND(I72&lt;&gt;"",I72&amp;""&lt;&gt;"0",TRIM(N72)="")+AND(J72&lt;&gt;"",J72&amp;""&lt;&gt;"0",TRIM(O72)=""))&gt;0,"Add evidence","Complete")))</f>
        <v/>
      </c>
      <c r="Z72" s="24" t="inlineStr">
        <is>
          <t>3122</t>
        </is>
      </c>
      <c r="AA72" s="24" t="inlineStr">
        <is>
          <t>Manufacturing Supervisors</t>
        </is>
      </c>
      <c r="AB72" s="24" t="inlineStr">
        <is>
          <t>312</t>
        </is>
      </c>
      <c r="AC72" s="24" t="inlineStr">
        <is>
          <t>Mining, Manufacturing and Construction Supervisors</t>
        </is>
      </c>
      <c r="AD72" s="24" t="n">
        <v>3</v>
      </c>
      <c r="AE72" s="24" t="inlineStr">
        <is>
          <t>Technicians and Associate Professionals</t>
        </is>
      </c>
      <c r="AF72" s="24" t="inlineStr">
        <is>
          <t>3</t>
        </is>
      </c>
      <c r="AG72" s="24" t="inlineStr">
        <is>
          <t>7228.10</t>
        </is>
      </c>
      <c r="AH72" s="24" t="n"/>
      <c r="AI72" s="24" t="n"/>
    </row>
    <row r="73" ht="98.39999999999999" customHeight="1">
      <c r="A73" s="24" t="n">
        <v>71</v>
      </c>
      <c r="B73" s="24" t="inlineStr">
        <is>
          <t>3122.6509</t>
        </is>
      </c>
      <c r="C73" s="24" t="inlineStr">
        <is>
          <t>Final Assortment Supervisor</t>
        </is>
      </c>
      <c r="D73" s="25" t="inlineStr">
        <is>
          <t>Final Assortment Supervisor is also known as QC Supervisor or Grading Supervisor, the final assortment supervisor is in charge running the day to day work flow and processes of the final assortment department. The individual at work allocates work to subordinate workers, trains and educates them, instructs about the job to be performed on daily basis, checks quality of output, manages team and systems, carries out performance appraisal, ensures safety of the diamond, and interacts with other departments in order to produce lots of polished diamonds as per company’s objectives and customer’s requirement and delivers on time.</t>
        </is>
      </c>
      <c r="E73" s="26" t="n"/>
      <c r="F73" s="26" t="n"/>
      <c r="G73" s="26" t="n"/>
      <c r="H73" s="26" t="n"/>
      <c r="I73" s="26" t="n"/>
      <c r="J73" s="26" t="n"/>
      <c r="K73" s="27" t="n"/>
      <c r="L73" s="27" t="n"/>
      <c r="M73" s="27" t="n"/>
      <c r="N73" s="27" t="n"/>
      <c r="O73" s="27" t="n"/>
      <c r="P73" s="26" t="n"/>
      <c r="Q73" s="26" t="n"/>
      <c r="R73" s="26" t="n"/>
      <c r="S73" s="26" t="n"/>
      <c r="T73" s="26" t="n"/>
      <c r="U73" s="26" t="n"/>
      <c r="V73" s="26" t="n"/>
      <c r="W73" s="26" t="n"/>
      <c r="X73" s="27" t="n"/>
      <c r="Y73" s="28">
        <f>IF(COUNTA(E73:J73,P73:W73)=0,"Not started",IF(COUNTA(E73:J73,P73:W73)&lt;14,"Incomplete",IF((AND(F73&lt;&gt;"",F73&amp;""&lt;&gt;"0",TRIM(K73)="")+AND(G73&lt;&gt;"",G73&amp;""&lt;&gt;"0",TRIM(L73)="")+AND(H73&lt;&gt;"",H73&amp;""&lt;&gt;"0",TRIM(M73)="")+AND(I73&lt;&gt;"",I73&amp;""&lt;&gt;"0",TRIM(N73)="")+AND(J73&lt;&gt;"",J73&amp;""&lt;&gt;"0",TRIM(O73)=""))&gt;0,"Add evidence","Complete")))</f>
        <v/>
      </c>
      <c r="Z73" s="24" t="inlineStr">
        <is>
          <t>3122</t>
        </is>
      </c>
      <c r="AA73" s="24" t="inlineStr">
        <is>
          <t>Manufacturing Supervisors</t>
        </is>
      </c>
      <c r="AB73" s="24" t="inlineStr">
        <is>
          <t>312</t>
        </is>
      </c>
      <c r="AC73" s="24" t="inlineStr">
        <is>
          <t>Mining, Manufacturing and Construction Supervisors</t>
        </is>
      </c>
      <c r="AD73" s="24" t="n">
        <v>3</v>
      </c>
      <c r="AE73" s="24" t="inlineStr">
        <is>
          <t>Technicians and Associate Professionals</t>
        </is>
      </c>
      <c r="AF73" s="24" t="inlineStr">
        <is>
          <t>3</t>
        </is>
      </c>
      <c r="AG73" s="24" t="n"/>
      <c r="AH73" s="24" t="inlineStr">
        <is>
          <t>G&amp;J/Q4909</t>
        </is>
      </c>
      <c r="AI73" s="24" t="n"/>
    </row>
    <row r="74" ht="138" customHeight="1">
      <c r="A74" s="24" t="n">
        <v>72</v>
      </c>
      <c r="B74" s="24" t="inlineStr">
        <is>
          <t>3131.0300</t>
        </is>
      </c>
      <c r="C74" s="24" t="inlineStr">
        <is>
          <t>Turbine Operator, Steam</t>
        </is>
      </c>
      <c r="D74" s="25" t="inlineStr">
        <is>
          <t>Turbine Operator, Steam; Turbo generator Operator, Steam operates steam powered turbine which drives generators for producing electricity. Starts turbine by opening valve for supply of steam intoturbine to rotate turbine wheels; runsturbine at low speed for pre-determinedlength of time and notifies the SwitchBoard Operator when ready to run turbineat full working speed; increases speed ofturbine and ensures that automaticregulator maintains correct workingspeed; notifies Switch-Board Operatorthat turbine can be synchronised withother power units in plant. Observesgauges and meters to ensure properhandling of load by turbine and its properfunctioning; alters power output ofturbine and makes other adjustments asnecessary. Cuts out unit evaporator toconduct blow down of turbine for periodicoverhauling. May keep records ofinstrument readings. May repair andoverhaul equipment and other auxiliaries.</t>
        </is>
      </c>
      <c r="E74" s="26" t="n"/>
      <c r="F74" s="26" t="n"/>
      <c r="G74" s="26" t="n"/>
      <c r="H74" s="26" t="n"/>
      <c r="I74" s="26" t="n"/>
      <c r="J74" s="26" t="n"/>
      <c r="K74" s="27" t="n"/>
      <c r="L74" s="27" t="n"/>
      <c r="M74" s="27" t="n"/>
      <c r="N74" s="27" t="n"/>
      <c r="O74" s="27" t="n"/>
      <c r="P74" s="26" t="n"/>
      <c r="Q74" s="26" t="n"/>
      <c r="R74" s="26" t="n"/>
      <c r="S74" s="26" t="n"/>
      <c r="T74" s="26" t="n"/>
      <c r="U74" s="26" t="n"/>
      <c r="V74" s="26" t="n"/>
      <c r="W74" s="26" t="n"/>
      <c r="X74" s="27" t="n"/>
      <c r="Y74" s="28">
        <f>IF(COUNTA(E74:J74,P74:W74)=0,"Not started",IF(COUNTA(E74:J74,P74:W74)&lt;14,"Incomplete",IF((AND(F74&lt;&gt;"",F74&amp;""&lt;&gt;"0",TRIM(K74)="")+AND(G74&lt;&gt;"",G74&amp;""&lt;&gt;"0",TRIM(L74)="")+AND(H74&lt;&gt;"",H74&amp;""&lt;&gt;"0",TRIM(M74)="")+AND(I74&lt;&gt;"",I74&amp;""&lt;&gt;"0",TRIM(N74)="")+AND(J74&lt;&gt;"",J74&amp;""&lt;&gt;"0",TRIM(O74)=""))&gt;0,"Add evidence","Complete")))</f>
        <v/>
      </c>
      <c r="Z74" s="24" t="inlineStr">
        <is>
          <t>3131</t>
        </is>
      </c>
      <c r="AA74" s="24" t="inlineStr">
        <is>
          <t>Power Production Plant Operators</t>
        </is>
      </c>
      <c r="AB74" s="24" t="inlineStr">
        <is>
          <t>313</t>
        </is>
      </c>
      <c r="AC74" s="24" t="inlineStr">
        <is>
          <t>Process Control Technicians</t>
        </is>
      </c>
      <c r="AD74" s="24" t="n">
        <v>3</v>
      </c>
      <c r="AE74" s="24" t="inlineStr">
        <is>
          <t>Technicians and Associate Professionals</t>
        </is>
      </c>
      <c r="AF74" s="24" t="inlineStr">
        <is>
          <t>3</t>
        </is>
      </c>
      <c r="AG74" s="24" t="inlineStr">
        <is>
          <t>8161.30</t>
        </is>
      </c>
      <c r="AH74" s="24" t="n"/>
      <c r="AI74" s="24" t="n"/>
    </row>
    <row r="75" ht="217.2" customHeight="1">
      <c r="A75" s="24" t="n">
        <v>73</v>
      </c>
      <c r="B75" s="24" t="inlineStr">
        <is>
          <t>3131.0600</t>
        </is>
      </c>
      <c r="C75" s="24" t="inlineStr">
        <is>
          <t>Electrical Switch Board Operator</t>
        </is>
      </c>
      <c r="D75" s="25" t="inlineStr">
        <is>
          <t>Electrical Switch Board Operator: Switch Board Assistant; Switch Board Attendant; Sub-Station Attendant (Power Station) operates and attends switches and switchgear on switch boards to regulate flow of electric current from power house or substation to different feeding units. Synchronises generators and motor connectors to bus bar (conductor forming common junction between two or more electrical circuits) receiving electrical current from other generating units by operating switches on panel board. Operates various controls to switch on and off current supply to different feeder units depending on load-requirements and as per instructions of superiors. Controls and regulates voltage, frequency and power factor according to demand and system condition. Disconnects generator from bus bar to decrease power output or to cut out faulty units and equalises load among remaining operating generators. Maintains records of switching operations and generator output at regular intervals and submits daily reports to superiors. Reports to superiors of major breakdown, power failure and malfunctioning of switch board equipment, instrument or relays. Isolates feeding units in case of break-down and fixes danger notices. May clean panel board periodically. May overhaul and repair panel equipment. May supervise working and cleaning of static or rotary electrical plants. May check voltage and specific gravity of stand by storage batteries, maintain them and keep them fully charged.</t>
        </is>
      </c>
      <c r="E75" s="26" t="n"/>
      <c r="F75" s="26" t="n"/>
      <c r="G75" s="26" t="n"/>
      <c r="H75" s="26" t="n"/>
      <c r="I75" s="26" t="n"/>
      <c r="J75" s="26" t="n"/>
      <c r="K75" s="27" t="n"/>
      <c r="L75" s="27" t="n"/>
      <c r="M75" s="27" t="n"/>
      <c r="N75" s="27" t="n"/>
      <c r="O75" s="27" t="n"/>
      <c r="P75" s="26" t="n"/>
      <c r="Q75" s="26" t="n"/>
      <c r="R75" s="26" t="n"/>
      <c r="S75" s="26" t="n"/>
      <c r="T75" s="26" t="n"/>
      <c r="U75" s="26" t="n"/>
      <c r="V75" s="26" t="n"/>
      <c r="W75" s="26" t="n"/>
      <c r="X75" s="27" t="n"/>
      <c r="Y75" s="28">
        <f>IF(COUNTA(E75:J75,P75:W75)=0,"Not started",IF(COUNTA(E75:J75,P75:W75)&lt;14,"Incomplete",IF((AND(F75&lt;&gt;"",F75&amp;""&lt;&gt;"0",TRIM(K75)="")+AND(G75&lt;&gt;"",G75&amp;""&lt;&gt;"0",TRIM(L75)="")+AND(H75&lt;&gt;"",H75&amp;""&lt;&gt;"0",TRIM(M75)="")+AND(I75&lt;&gt;"",I75&amp;""&lt;&gt;"0",TRIM(N75)="")+AND(J75&lt;&gt;"",J75&amp;""&lt;&gt;"0",TRIM(O75)=""))&gt;0,"Add evidence","Complete")))</f>
        <v/>
      </c>
      <c r="Z75" s="24" t="inlineStr">
        <is>
          <t>3131</t>
        </is>
      </c>
      <c r="AA75" s="24" t="inlineStr">
        <is>
          <t>Power Production Plant Operators</t>
        </is>
      </c>
      <c r="AB75" s="24" t="inlineStr">
        <is>
          <t>313</t>
        </is>
      </c>
      <c r="AC75" s="24" t="inlineStr">
        <is>
          <t>Process Control Technicians</t>
        </is>
      </c>
      <c r="AD75" s="24" t="n">
        <v>3</v>
      </c>
      <c r="AE75" s="24" t="inlineStr">
        <is>
          <t>Technicians and Associate Professionals</t>
        </is>
      </c>
      <c r="AF75" s="24" t="inlineStr">
        <is>
          <t>3</t>
        </is>
      </c>
      <c r="AG75" s="24" t="inlineStr">
        <is>
          <t>8161.50</t>
        </is>
      </c>
      <c r="AH75" s="24" t="n"/>
      <c r="AI75" s="24" t="n"/>
    </row>
    <row r="76" ht="138" customHeight="1">
      <c r="A76" s="24" t="n">
        <v>74</v>
      </c>
      <c r="B76" s="24" t="inlineStr">
        <is>
          <t>3134.0200</t>
        </is>
      </c>
      <c r="C76" s="24" t="inlineStr">
        <is>
          <t>Still Man Gas Plant/Gas Plant Operator (Petrol Refining)</t>
        </is>
      </c>
      <c r="D76" s="25" t="inlineStr">
        <is>
          <t>Still Man, Gas Plant; Desulphurizer Operator; Gas Plant Operator (Petrol Refining) tends operation of unit in which pressure distillate and non-condensable gases are treated to extract those gases which are used as fuel. Observes various temperature, pressure and flow gauges of unit to ensure that unit is functioning properly and records readings. Adjusts valves to regulate height of liquid level in dephlegmator so that maximum separation of vapours from liquid will be obtained and vapours will be prevented from flowing back into unit and to regulate flow of gases through unit. Operates and controls speed of pumps to regulate flow of liquids through unit. Controls temperature and pressure of unit by setting automatic regulator at points desired. Winds and changes charts on recording meters. Shuts down unit and cleans it out with steam and water, exercising caution to prevent explosion. May oil and grease pumps.</t>
        </is>
      </c>
      <c r="E76" s="26" t="n"/>
      <c r="F76" s="26" t="n"/>
      <c r="G76" s="26" t="n"/>
      <c r="H76" s="26" t="n"/>
      <c r="I76" s="26" t="n"/>
      <c r="J76" s="26" t="n"/>
      <c r="K76" s="27" t="n"/>
      <c r="L76" s="27" t="n"/>
      <c r="M76" s="27" t="n"/>
      <c r="N76" s="27" t="n"/>
      <c r="O76" s="27" t="n"/>
      <c r="P76" s="26" t="n"/>
      <c r="Q76" s="26" t="n"/>
      <c r="R76" s="26" t="n"/>
      <c r="S76" s="26" t="n"/>
      <c r="T76" s="26" t="n"/>
      <c r="U76" s="26" t="n"/>
      <c r="V76" s="26" t="n"/>
      <c r="W76" s="26" t="n"/>
      <c r="X76" s="27" t="n"/>
      <c r="Y76" s="28">
        <f>IF(COUNTA(E76:J76,P76:W76)=0,"Not started",IF(COUNTA(E76:J76,P76:W76)&lt;14,"Incomplete",IF((AND(F76&lt;&gt;"",F76&amp;""&lt;&gt;"0",TRIM(K76)="")+AND(G76&lt;&gt;"",G76&amp;""&lt;&gt;"0",TRIM(L76)="")+AND(H76&lt;&gt;"",H76&amp;""&lt;&gt;"0",TRIM(M76)="")+AND(I76&lt;&gt;"",I76&amp;""&lt;&gt;"0",TRIM(N76)="")+AND(J76&lt;&gt;"",J76&amp;""&lt;&gt;"0",TRIM(O76)=""))&gt;0,"Add evidence","Complete")))</f>
        <v/>
      </c>
      <c r="Z76" s="24" t="inlineStr">
        <is>
          <t>3134</t>
        </is>
      </c>
      <c r="AA76" s="24" t="inlineStr">
        <is>
          <t>Petroleum and Natural Gas Refining Plant Operators</t>
        </is>
      </c>
      <c r="AB76" s="24" t="inlineStr">
        <is>
          <t>313</t>
        </is>
      </c>
      <c r="AC76" s="24" t="inlineStr">
        <is>
          <t>Process Control Technicians</t>
        </is>
      </c>
      <c r="AD76" s="24" t="n">
        <v>3</v>
      </c>
      <c r="AE76" s="24" t="inlineStr">
        <is>
          <t>Technicians and Associate Professionals</t>
        </is>
      </c>
      <c r="AF76" s="24" t="inlineStr">
        <is>
          <t>3</t>
        </is>
      </c>
      <c r="AG76" s="24" t="inlineStr">
        <is>
          <t>8155.20</t>
        </is>
      </c>
      <c r="AH76" s="24" t="n"/>
      <c r="AI76" s="24" t="n"/>
    </row>
    <row r="77" ht="151.2" customHeight="1">
      <c r="A77" s="24" t="n">
        <v>75</v>
      </c>
      <c r="B77" s="24" t="inlineStr">
        <is>
          <t>3134.0400</t>
        </is>
      </c>
      <c r="C77" s="24" t="inlineStr">
        <is>
          <t>Control Man (Petroleum Refining)</t>
        </is>
      </c>
      <c r="D77" s="25" t="inlineStr">
        <is>
          <t>Control Man (Petroleum Refining) operates control panel to regulate temperature, pressure, rate of flow, and tank level in petroleum refining, processing and treating units and petrochemical units, according to process schedules. Observes instruments and meters to verify specified conditions and record readings. Moves and adjusts dials, switches, valves and levers on control panel to regulate and co-ordinate process variables, such as flows, temperatures, pressures, vacuum, time catalyst and chemicals as specified. Reports malfunctioning equipment to Still Man. Records results of laboratory analysis. May test products for chemical characteristics and colour, or send them to laboratory for analysis. May change recording charts and ink pens. May operate auxiliary equipment to assist in distilling or treating operations. May be designated according to type of process or unit in which employed such as CONTROL MAN, CRACKING UNIT; CONTROL MAN, CRUDE UNIT; CONTROL MAN, POLYMERISATION UNIT; SOLVENT ‘TREATING ‘PLANT CONTROL MAN etc</t>
        </is>
      </c>
      <c r="E77" s="26" t="n"/>
      <c r="F77" s="26" t="n"/>
      <c r="G77" s="26" t="n"/>
      <c r="H77" s="26" t="n"/>
      <c r="I77" s="26" t="n"/>
      <c r="J77" s="26" t="n"/>
      <c r="K77" s="27" t="n"/>
      <c r="L77" s="27" t="n"/>
      <c r="M77" s="27" t="n"/>
      <c r="N77" s="27" t="n"/>
      <c r="O77" s="27" t="n"/>
      <c r="P77" s="26" t="n"/>
      <c r="Q77" s="26" t="n"/>
      <c r="R77" s="26" t="n"/>
      <c r="S77" s="26" t="n"/>
      <c r="T77" s="26" t="n"/>
      <c r="U77" s="26" t="n"/>
      <c r="V77" s="26" t="n"/>
      <c r="W77" s="26" t="n"/>
      <c r="X77" s="27" t="n"/>
      <c r="Y77" s="28">
        <f>IF(COUNTA(E77:J77,P77:W77)=0,"Not started",IF(COUNTA(E77:J77,P77:W77)&lt;14,"Incomplete",IF((AND(F77&lt;&gt;"",F77&amp;""&lt;&gt;"0",TRIM(K77)="")+AND(G77&lt;&gt;"",G77&amp;""&lt;&gt;"0",TRIM(L77)="")+AND(H77&lt;&gt;"",H77&amp;""&lt;&gt;"0",TRIM(M77)="")+AND(I77&lt;&gt;"",I77&amp;""&lt;&gt;"0",TRIM(N77)="")+AND(J77&lt;&gt;"",J77&amp;""&lt;&gt;"0",TRIM(O77)=""))&gt;0,"Add evidence","Complete")))</f>
        <v/>
      </c>
      <c r="Z77" s="24" t="inlineStr">
        <is>
          <t>3134</t>
        </is>
      </c>
      <c r="AA77" s="24" t="inlineStr">
        <is>
          <t>Petroleum and Natural Gas Refining Plant Operators</t>
        </is>
      </c>
      <c r="AB77" s="24" t="inlineStr">
        <is>
          <t>313</t>
        </is>
      </c>
      <c r="AC77" s="24" t="inlineStr">
        <is>
          <t>Process Control Technicians</t>
        </is>
      </c>
      <c r="AD77" s="24" t="n">
        <v>3</v>
      </c>
      <c r="AE77" s="24" t="inlineStr">
        <is>
          <t>Technicians and Associate Professionals</t>
        </is>
      </c>
      <c r="AF77" s="24" t="inlineStr">
        <is>
          <t>3</t>
        </is>
      </c>
      <c r="AG77" s="24" t="inlineStr">
        <is>
          <t>8155.40</t>
        </is>
      </c>
      <c r="AH77" s="24" t="n"/>
      <c r="AI77" s="24" t="n"/>
    </row>
    <row r="78" ht="204" customHeight="1">
      <c r="A78" s="24" t="n">
        <v>76</v>
      </c>
      <c r="B78" s="24" t="inlineStr">
        <is>
          <t>3134.0500</t>
        </is>
      </c>
      <c r="C78" s="24" t="inlineStr">
        <is>
          <t>Blender (Petroleum Refining)</t>
        </is>
      </c>
      <c r="D78" s="25" t="inlineStr">
        <is>
          <t>Blender (Petroleum Refining) controls equipment to blend straight run of natural gasoline with chemicals, tetra-ethyl leads, and light distillates of crude oil to produce commercial fuel, according to formula. Reads blending schedules specifying components and quantities to be blended. Turns, controls to open valves and starts pumps or directs Pump Man to transfer gasoline to blending tanks. Completes amount of addition or sets weighing machine that automatically weighs quantities of additives in ratio to quantity of gasoline. Turns hand wheel to open valves to spray jets to admit and circulate specified quantities of gasoline, additives and chemicals in mixing tanks. Move controls of pumps, agitators and mixtures to blend mixture mechanically or with air agitation. Observes temperature gauges and turns valves to regulate and maintain specified temperature in tanks. Draws sample of mixture for laboratory analysis. Repeats blending process as required by laboratory recommendations or starts pump to draw off blended gasoline to storage tanks or leading racks. Opens valves to draw off chemical and lead residue. Records quantity blended and materials used. Lubricates, adjusts, and repairs pumps, agitators, and mixers. May test products. May operate control panel utilizing electronic computer and controls to blend products in pipelines. May be designated according to type of additive used as ETHYL BLENDER</t>
        </is>
      </c>
      <c r="E78" s="26" t="n"/>
      <c r="F78" s="26" t="n"/>
      <c r="G78" s="26" t="n"/>
      <c r="H78" s="26" t="n"/>
      <c r="I78" s="26" t="n"/>
      <c r="J78" s="26" t="n"/>
      <c r="K78" s="27" t="n"/>
      <c r="L78" s="27" t="n"/>
      <c r="M78" s="27" t="n"/>
      <c r="N78" s="27" t="n"/>
      <c r="O78" s="27" t="n"/>
      <c r="P78" s="26" t="n"/>
      <c r="Q78" s="26" t="n"/>
      <c r="R78" s="26" t="n"/>
      <c r="S78" s="26" t="n"/>
      <c r="T78" s="26" t="n"/>
      <c r="U78" s="26" t="n"/>
      <c r="V78" s="26" t="n"/>
      <c r="W78" s="26" t="n"/>
      <c r="X78" s="27" t="n"/>
      <c r="Y78" s="28">
        <f>IF(COUNTA(E78:J78,P78:W78)=0,"Not started",IF(COUNTA(E78:J78,P78:W78)&lt;14,"Incomplete",IF((AND(F78&lt;&gt;"",F78&amp;""&lt;&gt;"0",TRIM(K78)="")+AND(G78&lt;&gt;"",G78&amp;""&lt;&gt;"0",TRIM(L78)="")+AND(H78&lt;&gt;"",H78&amp;""&lt;&gt;"0",TRIM(M78)="")+AND(I78&lt;&gt;"",I78&amp;""&lt;&gt;"0",TRIM(N78)="")+AND(J78&lt;&gt;"",J78&amp;""&lt;&gt;"0",TRIM(O78)=""))&gt;0,"Add evidence","Complete")))</f>
        <v/>
      </c>
      <c r="Z78" s="24" t="inlineStr">
        <is>
          <t>3134</t>
        </is>
      </c>
      <c r="AA78" s="24" t="inlineStr">
        <is>
          <t>Petroleum and Natural Gas Refining Plant Operators</t>
        </is>
      </c>
      <c r="AB78" s="24" t="inlineStr">
        <is>
          <t>313</t>
        </is>
      </c>
      <c r="AC78" s="24" t="inlineStr">
        <is>
          <t>Process Control Technicians</t>
        </is>
      </c>
      <c r="AD78" s="24" t="n">
        <v>3</v>
      </c>
      <c r="AE78" s="24" t="inlineStr">
        <is>
          <t>Technicians and Associate Professionals</t>
        </is>
      </c>
      <c r="AF78" s="24" t="inlineStr">
        <is>
          <t>3</t>
        </is>
      </c>
      <c r="AG78" s="24" t="inlineStr">
        <is>
          <t>8155.50</t>
        </is>
      </c>
      <c r="AH78" s="24" t="n"/>
      <c r="AI78" s="24" t="n"/>
    </row>
    <row r="79" ht="151.2" customHeight="1">
      <c r="A79" s="24" t="n">
        <v>77</v>
      </c>
      <c r="B79" s="24" t="inlineStr">
        <is>
          <t>3135.1200</t>
        </is>
      </c>
      <c r="C79" s="24" t="inlineStr">
        <is>
          <t>Furnace Operator, Second Hand, Open Hearth</t>
        </is>
      </c>
      <c r="D79" s="25" t="inlineStr">
        <is>
          <t>Furnace Operator, Second Hand, Open Hearth (Steel Manufacturing) assists Furnace Operator, First Hand taps molten steel from furnace and adds, chemicals, oxides, etc. Keeps oxide and fluxes ready for charging into furnace. Maintains spout for flow of molten steel in proper condition. Leads gang of Helpers and Khalasis on receipt of instructions from Furnace Operator First Hand to open tapping hole of furnace by compressed air gun, oxygen cylinder with pipes or other devices. Ensures that molten metal flows smoothly into ladle. Adds various chemicals, oxides and fluxes in ladle to obtain correct specification of steel. Closes tapping hole by dolomite, coke mixtures, etc. Repairs, maintains and dresses runner (channel for flow of molten steel) with fire clay bricks, loan, etc. during tapping intervals. May assist Furnace Operator First Hand in changing furnace and in spraying dolomite on furnace banks (sides). May be designated as FURNACE KEEPER or TAPPER, if employed in blast furnace</t>
        </is>
      </c>
      <c r="E79" s="26" t="n"/>
      <c r="F79" s="26" t="n"/>
      <c r="G79" s="26" t="n"/>
      <c r="H79" s="26" t="n"/>
      <c r="I79" s="26" t="n"/>
      <c r="J79" s="26" t="n"/>
      <c r="K79" s="27" t="n"/>
      <c r="L79" s="27" t="n"/>
      <c r="M79" s="27" t="n"/>
      <c r="N79" s="27" t="n"/>
      <c r="O79" s="27" t="n"/>
      <c r="P79" s="26" t="n"/>
      <c r="Q79" s="26" t="n"/>
      <c r="R79" s="26" t="n"/>
      <c r="S79" s="26" t="n"/>
      <c r="T79" s="26" t="n"/>
      <c r="U79" s="26" t="n"/>
      <c r="V79" s="26" t="n"/>
      <c r="W79" s="26" t="n"/>
      <c r="X79" s="27" t="n"/>
      <c r="Y79" s="28">
        <f>IF(COUNTA(E79:J79,P79:W79)=0,"Not started",IF(COUNTA(E79:J79,P79:W79)&lt;14,"Incomplete",IF((AND(F79&lt;&gt;"",F79&amp;""&lt;&gt;"0",TRIM(K79)="")+AND(G79&lt;&gt;"",G79&amp;""&lt;&gt;"0",TRIM(L79)="")+AND(H79&lt;&gt;"",H79&amp;""&lt;&gt;"0",TRIM(M79)="")+AND(I79&lt;&gt;"",I79&amp;""&lt;&gt;"0",TRIM(N79)="")+AND(J79&lt;&gt;"",J79&amp;""&lt;&gt;"0",TRIM(O79)=""))&gt;0,"Add evidence","Complete")))</f>
        <v/>
      </c>
      <c r="Z79" s="24" t="inlineStr">
        <is>
          <t>3135</t>
        </is>
      </c>
      <c r="AA79" s="24" t="inlineStr">
        <is>
          <t>Metal Production Process Controllers</t>
        </is>
      </c>
      <c r="AB79" s="24" t="inlineStr">
        <is>
          <t>313</t>
        </is>
      </c>
      <c r="AC79" s="24" t="inlineStr">
        <is>
          <t>Process Control Technicians</t>
        </is>
      </c>
      <c r="AD79" s="24" t="n">
        <v>3</v>
      </c>
      <c r="AE79" s="24" t="inlineStr">
        <is>
          <t>Technicians and Associate Professionals</t>
        </is>
      </c>
      <c r="AF79" s="24" t="inlineStr">
        <is>
          <t>3</t>
        </is>
      </c>
      <c r="AG79" s="24" t="inlineStr">
        <is>
          <t>8121.60</t>
        </is>
      </c>
      <c r="AH79" s="24" t="n"/>
      <c r="AI79" s="24" t="n"/>
    </row>
    <row r="80" ht="124.8" customHeight="1">
      <c r="A80" s="24" t="n">
        <v>78</v>
      </c>
      <c r="B80" s="24" t="inlineStr">
        <is>
          <t>3153.0500</t>
        </is>
      </c>
      <c r="C80" s="24" t="inlineStr">
        <is>
          <t>Pilot, Glider</t>
        </is>
      </c>
      <c r="D80" s="25" t="inlineStr">
        <is>
          <t>Pilot Glider operates glider to glide and soar in air with help of rising air-currents (thermal currents). Takes position in glider and secures with a strap. Checks controls fitted in glider. Ensures that end of wirerope stretched from wire-rope drum of stationary winch engine stationed at other end of field is fixed to glider and Signalman and Traffic Hand Gliding are ready at their posts. Directs Signalman to signal Winch-Engine Operator about readiness for take-off. Releases wire-rope from glider by manipulating release knob after glider is air-borne and gains maximum height through air-currents. Maintains flight for required time, lands glider at landing area by manoeuvring controls. May fly glider towed by powerdriven airplane. May be designated as Glider-Pilot; Glider-Instructor, if employed in flying clubs to train members in gliding.</t>
        </is>
      </c>
      <c r="E80" s="26" t="n"/>
      <c r="F80" s="26" t="n"/>
      <c r="G80" s="26" t="n"/>
      <c r="H80" s="26" t="n"/>
      <c r="I80" s="26" t="n"/>
      <c r="J80" s="26" t="n"/>
      <c r="K80" s="27" t="n"/>
      <c r="L80" s="27" t="n"/>
      <c r="M80" s="27" t="n"/>
      <c r="N80" s="27" t="n"/>
      <c r="O80" s="27" t="n"/>
      <c r="P80" s="26" t="n"/>
      <c r="Q80" s="26" t="n"/>
      <c r="R80" s="26" t="n"/>
      <c r="S80" s="26" t="n"/>
      <c r="T80" s="26" t="n"/>
      <c r="U80" s="26" t="n"/>
      <c r="V80" s="26" t="n"/>
      <c r="W80" s="26" t="n"/>
      <c r="X80" s="27" t="n"/>
      <c r="Y80" s="28">
        <f>IF(COUNTA(E80:J80,P80:W80)=0,"Not started",IF(COUNTA(E80:J80,P80:W80)&lt;14,"Incomplete",IF((AND(F80&lt;&gt;"",F80&amp;""&lt;&gt;"0",TRIM(K80)="")+AND(G80&lt;&gt;"",G80&amp;""&lt;&gt;"0",TRIM(L80)="")+AND(H80&lt;&gt;"",H80&amp;""&lt;&gt;"0",TRIM(M80)="")+AND(I80&lt;&gt;"",I80&amp;""&lt;&gt;"0",TRIM(N80)="")+AND(J80&lt;&gt;"",J80&amp;""&lt;&gt;"0",TRIM(O80)=""))&gt;0,"Add evidence","Complete")))</f>
        <v/>
      </c>
      <c r="Z80" s="24" t="inlineStr">
        <is>
          <t>3153</t>
        </is>
      </c>
      <c r="AA80" s="24" t="inlineStr">
        <is>
          <t>Aircraft Pilots and Related Associate Professionals</t>
        </is>
      </c>
      <c r="AB80" s="24" t="inlineStr">
        <is>
          <t>315</t>
        </is>
      </c>
      <c r="AC80" s="24" t="inlineStr">
        <is>
          <t>Ship and Aircraft Controllers, and Technicians</t>
        </is>
      </c>
      <c r="AD80" s="24" t="n">
        <v>3</v>
      </c>
      <c r="AE80" s="24" t="inlineStr">
        <is>
          <t>Technicians and Associate Professionals</t>
        </is>
      </c>
      <c r="AF80" s="24" t="inlineStr">
        <is>
          <t>3</t>
        </is>
      </c>
      <c r="AG80" s="24" t="inlineStr">
        <is>
          <t>3143.50</t>
        </is>
      </c>
      <c r="AH80" s="24" t="n"/>
      <c r="AI80" s="24" t="n"/>
    </row>
    <row r="81" ht="72" customHeight="1">
      <c r="A81" s="24" t="n">
        <v>79</v>
      </c>
      <c r="B81" s="24" t="inlineStr">
        <is>
          <t>3211.0801</t>
        </is>
      </c>
      <c r="C81" s="24" t="inlineStr">
        <is>
          <t>Cardiac Care Technician</t>
        </is>
      </c>
      <c r="D81" s="25" t="inlineStr">
        <is>
          <t>Cardiac Care Technician (CCT) is a health care specialist who supports cardiologist in diagnosing and treatment of ailments of the human heart. Cardiac Care Technician in the health Industry is also known as a Cardiographic Technicians or Cardiovascular Technicians. Individuals in this job assist in performing invasive and non-invasive diagnostic examinations and therapeutic interventions of the heart and/or blood vessels at the request or direction of a provider.</t>
        </is>
      </c>
      <c r="E81" s="26" t="n"/>
      <c r="F81" s="26" t="n"/>
      <c r="G81" s="26" t="n"/>
      <c r="H81" s="26" t="n"/>
      <c r="I81" s="26" t="n"/>
      <c r="J81" s="26" t="n"/>
      <c r="K81" s="27" t="n"/>
      <c r="L81" s="27" t="n"/>
      <c r="M81" s="27" t="n"/>
      <c r="N81" s="27" t="n"/>
      <c r="O81" s="27" t="n"/>
      <c r="P81" s="26" t="n"/>
      <c r="Q81" s="26" t="n"/>
      <c r="R81" s="26" t="n"/>
      <c r="S81" s="26" t="n"/>
      <c r="T81" s="26" t="n"/>
      <c r="U81" s="26" t="n"/>
      <c r="V81" s="26" t="n"/>
      <c r="W81" s="26" t="n"/>
      <c r="X81" s="27" t="n"/>
      <c r="Y81" s="28">
        <f>IF(COUNTA(E81:J81,P81:W81)=0,"Not started",IF(COUNTA(E81:J81,P81:W81)&lt;14,"Incomplete",IF((AND(F81&lt;&gt;"",F81&amp;""&lt;&gt;"0",TRIM(K81)="")+AND(G81&lt;&gt;"",G81&amp;""&lt;&gt;"0",TRIM(L81)="")+AND(H81&lt;&gt;"",H81&amp;""&lt;&gt;"0",TRIM(M81)="")+AND(I81&lt;&gt;"",I81&amp;""&lt;&gt;"0",TRIM(N81)="")+AND(J81&lt;&gt;"",J81&amp;""&lt;&gt;"0",TRIM(O81)=""))&gt;0,"Add evidence","Complete")))</f>
        <v/>
      </c>
      <c r="Z81" s="24" t="inlineStr">
        <is>
          <t>3211</t>
        </is>
      </c>
      <c r="AA81" s="24" t="inlineStr">
        <is>
          <t>Medical Imaging and Therapeutic Equipment Technicians</t>
        </is>
      </c>
      <c r="AB81" s="24" t="inlineStr">
        <is>
          <t>321</t>
        </is>
      </c>
      <c r="AC81" s="24" t="inlineStr">
        <is>
          <t>Medical and Pharmaceutical Technicians</t>
        </is>
      </c>
      <c r="AD81" s="24" t="n">
        <v>3</v>
      </c>
      <c r="AE81" s="24" t="inlineStr">
        <is>
          <t>Technicians and Associate Professionals</t>
        </is>
      </c>
      <c r="AF81" s="24" t="inlineStr">
        <is>
          <t>3</t>
        </is>
      </c>
      <c r="AG81" s="24" t="n"/>
      <c r="AH81" s="24" t="inlineStr">
        <is>
          <t>HSS/Q 0101</t>
        </is>
      </c>
      <c r="AI81" s="24" t="n"/>
    </row>
    <row r="82" ht="111.6" customHeight="1">
      <c r="A82" s="24" t="n">
        <v>80</v>
      </c>
      <c r="B82" s="24" t="inlineStr">
        <is>
          <t>3222.0300</t>
        </is>
      </c>
      <c r="C82" s="24" t="inlineStr">
        <is>
          <t>Lady Health Visitor/ASHA Worker/Anganwadi Worker</t>
        </is>
      </c>
      <c r="D82" s="25" t="inlineStr">
        <is>
          <t>Lady Health Visitor renders health care at private residences and at health centres. Visits private residences in her jurisdiction to render antenatal care and advice to expectant mothers. Makes arrangements for their confinement and renders postnatal care. Renders health care to mothers, children and expectant mothers in health centres by performing variety of duties, like administering stock medicines, weighing babies, distributing milk and tonics, ensuring vaccination and inoculation, etc. Gives advice on personal and environmental hygiene. Supervises training and work of Dais. May give injections. May also conduct sewing and first aid classes at welfare centres and give family planning advice</t>
        </is>
      </c>
      <c r="E82" s="26" t="n"/>
      <c r="F82" s="26" t="n"/>
      <c r="G82" s="26" t="n"/>
      <c r="H82" s="26" t="n"/>
      <c r="I82" s="26" t="n"/>
      <c r="J82" s="26" t="n"/>
      <c r="K82" s="27" t="n"/>
      <c r="L82" s="27" t="n"/>
      <c r="M82" s="27" t="n"/>
      <c r="N82" s="27" t="n"/>
      <c r="O82" s="27" t="n"/>
      <c r="P82" s="26" t="n"/>
      <c r="Q82" s="26" t="n"/>
      <c r="R82" s="26" t="n"/>
      <c r="S82" s="26" t="n"/>
      <c r="T82" s="26" t="n"/>
      <c r="U82" s="26" t="n"/>
      <c r="V82" s="26" t="n"/>
      <c r="W82" s="26" t="n"/>
      <c r="X82" s="27" t="n"/>
      <c r="Y82" s="28">
        <f>IF(COUNTA(E82:J82,P82:W82)=0,"Not started",IF(COUNTA(E82:J82,P82:W82)&lt;14,"Incomplete",IF((AND(F82&lt;&gt;"",F82&amp;""&lt;&gt;"0",TRIM(K82)="")+AND(G82&lt;&gt;"",G82&amp;""&lt;&gt;"0",TRIM(L82)="")+AND(H82&lt;&gt;"",H82&amp;""&lt;&gt;"0",TRIM(M82)="")+AND(I82&lt;&gt;"",I82&amp;""&lt;&gt;"0",TRIM(N82)="")+AND(J82&lt;&gt;"",J82&amp;""&lt;&gt;"0",TRIM(O82)=""))&gt;0,"Add evidence","Complete")))</f>
        <v/>
      </c>
      <c r="Z82" s="24" t="inlineStr">
        <is>
          <t>3222</t>
        </is>
      </c>
      <c r="AA82" s="24" t="inlineStr">
        <is>
          <t>Midwifery Associate Professionals</t>
        </is>
      </c>
      <c r="AB82" s="24" t="inlineStr">
        <is>
          <t>322</t>
        </is>
      </c>
      <c r="AC82" s="24" t="inlineStr">
        <is>
          <t>Nursing and Midwifery Associate Professionals</t>
        </is>
      </c>
      <c r="AD82" s="24" t="n">
        <v>3</v>
      </c>
      <c r="AE82" s="24" t="inlineStr">
        <is>
          <t>Technicians and Associate Professionals</t>
        </is>
      </c>
      <c r="AF82" s="24" t="inlineStr">
        <is>
          <t>3</t>
        </is>
      </c>
      <c r="AG82" s="24" t="inlineStr">
        <is>
          <t>3232.30</t>
        </is>
      </c>
      <c r="AH82" s="24" t="n"/>
      <c r="AI82" s="24" t="n"/>
    </row>
    <row r="83" ht="45.59999999999999" customHeight="1">
      <c r="A83" s="24" t="n">
        <v>81</v>
      </c>
      <c r="B83" s="24" t="inlineStr">
        <is>
          <t>3251.9900</t>
        </is>
      </c>
      <c r="C83" s="24" t="inlineStr">
        <is>
          <t>Dental Assistants and Therapists, Other</t>
        </is>
      </c>
      <c r="D83" s="25" t="inlineStr">
        <is>
          <t>Dental Assistants, other include all those who carry out advisory, diagnostic, preventive and curative dental tasks, more limited in scope and complexity than those carried out by Dentists not elsewhere classified.</t>
        </is>
      </c>
      <c r="E83" s="26" t="n"/>
      <c r="F83" s="26" t="n"/>
      <c r="G83" s="26" t="n"/>
      <c r="H83" s="26" t="n"/>
      <c r="I83" s="26" t="n"/>
      <c r="J83" s="26" t="n"/>
      <c r="K83" s="27" t="n"/>
      <c r="L83" s="27" t="n"/>
      <c r="M83" s="27" t="n"/>
      <c r="N83" s="27" t="n"/>
      <c r="O83" s="27" t="n"/>
      <c r="P83" s="26" t="n"/>
      <c r="Q83" s="26" t="n"/>
      <c r="R83" s="26" t="n"/>
      <c r="S83" s="26" t="n"/>
      <c r="T83" s="26" t="n"/>
      <c r="U83" s="26" t="n"/>
      <c r="V83" s="26" t="n"/>
      <c r="W83" s="26" t="n"/>
      <c r="X83" s="27" t="n"/>
      <c r="Y83" s="28">
        <f>IF(COUNTA(E83:J83,P83:W83)=0,"Not started",IF(COUNTA(E83:J83,P83:W83)&lt;14,"Incomplete",IF((AND(F83&lt;&gt;"",F83&amp;""&lt;&gt;"0",TRIM(K83)="")+AND(G83&lt;&gt;"",G83&amp;""&lt;&gt;"0",TRIM(L83)="")+AND(H83&lt;&gt;"",H83&amp;""&lt;&gt;"0",TRIM(M83)="")+AND(I83&lt;&gt;"",I83&amp;""&lt;&gt;"0",TRIM(N83)="")+AND(J83&lt;&gt;"",J83&amp;""&lt;&gt;"0",TRIM(O83)=""))&gt;0,"Add evidence","Complete")))</f>
        <v/>
      </c>
      <c r="Z83" s="24" t="inlineStr">
        <is>
          <t>3251</t>
        </is>
      </c>
      <c r="AA83" s="24" t="inlineStr">
        <is>
          <t>Dental Assistants and Therapists</t>
        </is>
      </c>
      <c r="AB83" s="24" t="inlineStr">
        <is>
          <t>325</t>
        </is>
      </c>
      <c r="AC83" s="24" t="inlineStr">
        <is>
          <t>Other Health Associate Professionals</t>
        </is>
      </c>
      <c r="AD83" s="24" t="n">
        <v>3</v>
      </c>
      <c r="AE83" s="24" t="inlineStr">
        <is>
          <t>Technicians and Associate Professionals</t>
        </is>
      </c>
      <c r="AF83" s="24" t="inlineStr">
        <is>
          <t>3</t>
        </is>
      </c>
      <c r="AG83" s="24" t="inlineStr">
        <is>
          <t>3225.90</t>
        </is>
      </c>
      <c r="AH83" s="24" t="n"/>
      <c r="AI83" s="24" t="n"/>
    </row>
    <row r="84" ht="32.4" customHeight="1">
      <c r="A84" s="24" t="n">
        <v>82</v>
      </c>
      <c r="B84" s="24" t="inlineStr">
        <is>
          <t>3257.9900</t>
        </is>
      </c>
      <c r="C84" s="24" t="inlineStr">
        <is>
          <t>Environment Science and Protection Technicians, Other</t>
        </is>
      </c>
      <c r="D84" s="25" t="inlineStr">
        <is>
          <t>Environmental Science and Protection Technicians, other include all other technicians engaged in monitoring the environment and investigating the sources of pollution, not elsewhere classified.</t>
        </is>
      </c>
      <c r="E84" s="26" t="n"/>
      <c r="F84" s="26" t="n"/>
      <c r="G84" s="26" t="n"/>
      <c r="H84" s="26" t="n"/>
      <c r="I84" s="26" t="n"/>
      <c r="J84" s="26" t="n"/>
      <c r="K84" s="27" t="n"/>
      <c r="L84" s="27" t="n"/>
      <c r="M84" s="27" t="n"/>
      <c r="N84" s="27" t="n"/>
      <c r="O84" s="27" t="n"/>
      <c r="P84" s="26" t="n"/>
      <c r="Q84" s="26" t="n"/>
      <c r="R84" s="26" t="n"/>
      <c r="S84" s="26" t="n"/>
      <c r="T84" s="26" t="n"/>
      <c r="U84" s="26" t="n"/>
      <c r="V84" s="26" t="n"/>
      <c r="W84" s="26" t="n"/>
      <c r="X84" s="27" t="n"/>
      <c r="Y84" s="28">
        <f>IF(COUNTA(E84:J84,P84:W84)=0,"Not started",IF(COUNTA(E84:J84,P84:W84)&lt;14,"Incomplete",IF((AND(F84&lt;&gt;"",F84&amp;""&lt;&gt;"0",TRIM(K84)="")+AND(G84&lt;&gt;"",G84&amp;""&lt;&gt;"0",TRIM(L84)="")+AND(H84&lt;&gt;"",H84&amp;""&lt;&gt;"0",TRIM(M84)="")+AND(I84&lt;&gt;"",I84&amp;""&lt;&gt;"0",TRIM(N84)="")+AND(J84&lt;&gt;"",J84&amp;""&lt;&gt;"0",TRIM(O84)=""))&gt;0,"Add evidence","Complete")))</f>
        <v/>
      </c>
      <c r="Z84" s="24" t="inlineStr">
        <is>
          <t>3257</t>
        </is>
      </c>
      <c r="AA84" s="24" t="inlineStr">
        <is>
          <t>Environmental and Occupational Health Inspectors and Associates</t>
        </is>
      </c>
      <c r="AB84" s="24" t="inlineStr">
        <is>
          <t>325</t>
        </is>
      </c>
      <c r="AC84" s="24" t="inlineStr">
        <is>
          <t>Other Health Associate Professionals</t>
        </is>
      </c>
      <c r="AD84" s="24" t="n">
        <v>3</v>
      </c>
      <c r="AE84" s="24" t="inlineStr">
        <is>
          <t>Technicians and Associate Professionals</t>
        </is>
      </c>
      <c r="AF84" s="24" t="inlineStr">
        <is>
          <t>3</t>
        </is>
      </c>
      <c r="AG84" s="24" t="inlineStr">
        <is>
          <t>3214.90</t>
        </is>
      </c>
      <c r="AH84" s="24" t="n"/>
      <c r="AI84" s="24" t="n"/>
    </row>
    <row r="85" ht="45.59999999999999" customHeight="1">
      <c r="A85" s="24" t="n">
        <v>83</v>
      </c>
      <c r="B85" s="24" t="inlineStr">
        <is>
          <t>3322.1002</t>
        </is>
      </c>
      <c r="C85" s="24" t="inlineStr">
        <is>
          <t>Territory Sales Manager (Used Vehicles)</t>
        </is>
      </c>
      <c r="D85" s="25" t="inlineStr">
        <is>
          <t>Territory Sales Manager (Used Vehicles) is responsible for analysing and planning annual sales targets for the company, ensuring valuation for used vehicles and manage operations to achieve targeted sales.</t>
        </is>
      </c>
      <c r="E85" s="26" t="n"/>
      <c r="F85" s="26" t="n"/>
      <c r="G85" s="26" t="n"/>
      <c r="H85" s="26" t="n"/>
      <c r="I85" s="26" t="n"/>
      <c r="J85" s="26" t="n"/>
      <c r="K85" s="27" t="n"/>
      <c r="L85" s="27" t="n"/>
      <c r="M85" s="27" t="n"/>
      <c r="N85" s="27" t="n"/>
      <c r="O85" s="27" t="n"/>
      <c r="P85" s="26" t="n"/>
      <c r="Q85" s="26" t="n"/>
      <c r="R85" s="26" t="n"/>
      <c r="S85" s="26" t="n"/>
      <c r="T85" s="26" t="n"/>
      <c r="U85" s="26" t="n"/>
      <c r="V85" s="26" t="n"/>
      <c r="W85" s="26" t="n"/>
      <c r="X85" s="27" t="n"/>
      <c r="Y85" s="28">
        <f>IF(COUNTA(E85:J85,P85:W85)=0,"Not started",IF(COUNTA(E85:J85,P85:W85)&lt;14,"Incomplete",IF((AND(F85&lt;&gt;"",F85&amp;""&lt;&gt;"0",TRIM(K85)="")+AND(G85&lt;&gt;"",G85&amp;""&lt;&gt;"0",TRIM(L85)="")+AND(H85&lt;&gt;"",H85&amp;""&lt;&gt;"0",TRIM(M85)="")+AND(I85&lt;&gt;"",I85&amp;""&lt;&gt;"0",TRIM(N85)="")+AND(J85&lt;&gt;"",J85&amp;""&lt;&gt;"0",TRIM(O85)=""))&gt;0,"Add evidence","Complete")))</f>
        <v/>
      </c>
      <c r="Z85" s="24" t="inlineStr">
        <is>
          <t>3322</t>
        </is>
      </c>
      <c r="AA85" s="24" t="inlineStr">
        <is>
          <t>Commercial Sales Representatives</t>
        </is>
      </c>
      <c r="AB85" s="24" t="inlineStr">
        <is>
          <t>332</t>
        </is>
      </c>
      <c r="AC85" s="24" t="inlineStr">
        <is>
          <t>Sales and Purchasing Agents and Brokers</t>
        </is>
      </c>
      <c r="AD85" s="24" t="n">
        <v>3</v>
      </c>
      <c r="AE85" s="24" t="inlineStr">
        <is>
          <t>Technicians and Associate Professionals</t>
        </is>
      </c>
      <c r="AF85" s="24" t="inlineStr">
        <is>
          <t>3</t>
        </is>
      </c>
      <c r="AG85" s="24" t="n"/>
      <c r="AH85" s="24" t="inlineStr">
        <is>
          <t>ASC/Q 0104</t>
        </is>
      </c>
      <c r="AI85" s="24" t="n"/>
    </row>
    <row r="86" ht="58.8" customHeight="1">
      <c r="A86" s="24" t="n">
        <v>84</v>
      </c>
      <c r="B86" s="24" t="inlineStr">
        <is>
          <t>3322.1702</t>
        </is>
      </c>
      <c r="C86" s="24" t="inlineStr">
        <is>
          <t>Marketing and Social Media Manager</t>
        </is>
      </c>
      <c r="D86" s="25" t="inlineStr">
        <is>
          <t>Marketing and Social Media Manager is responsible for designing and formulating branding and marketing activities of dealership in close co-ordination with the sales and marketing of OEM. Developing and executing market plans for the promotion of dealership which includes social media strategy are also part of this job role.</t>
        </is>
      </c>
      <c r="E86" s="26" t="n"/>
      <c r="F86" s="26" t="n"/>
      <c r="G86" s="26" t="n"/>
      <c r="H86" s="26" t="n"/>
      <c r="I86" s="26" t="n"/>
      <c r="J86" s="26" t="n"/>
      <c r="K86" s="27" t="n"/>
      <c r="L86" s="27" t="n"/>
      <c r="M86" s="27" t="n"/>
      <c r="N86" s="27" t="n"/>
      <c r="O86" s="27" t="n"/>
      <c r="P86" s="26" t="n"/>
      <c r="Q86" s="26" t="n"/>
      <c r="R86" s="26" t="n"/>
      <c r="S86" s="26" t="n"/>
      <c r="T86" s="26" t="n"/>
      <c r="U86" s="26" t="n"/>
      <c r="V86" s="26" t="n"/>
      <c r="W86" s="26" t="n"/>
      <c r="X86" s="27" t="n"/>
      <c r="Y86" s="28">
        <f>IF(COUNTA(E86:J86,P86:W86)=0,"Not started",IF(COUNTA(E86:J86,P86:W86)&lt;14,"Incomplete",IF((AND(F86&lt;&gt;"",F86&amp;""&lt;&gt;"0",TRIM(K86)="")+AND(G86&lt;&gt;"",G86&amp;""&lt;&gt;"0",TRIM(L86)="")+AND(H86&lt;&gt;"",H86&amp;""&lt;&gt;"0",TRIM(M86)="")+AND(I86&lt;&gt;"",I86&amp;""&lt;&gt;"0",TRIM(N86)="")+AND(J86&lt;&gt;"",J86&amp;""&lt;&gt;"0",TRIM(O86)=""))&gt;0,"Add evidence","Complete")))</f>
        <v/>
      </c>
      <c r="Z86" s="24" t="inlineStr">
        <is>
          <t>3322</t>
        </is>
      </c>
      <c r="AA86" s="24" t="inlineStr">
        <is>
          <t>Commercial Sales Representatives</t>
        </is>
      </c>
      <c r="AB86" s="24" t="inlineStr">
        <is>
          <t>332</t>
        </is>
      </c>
      <c r="AC86" s="24" t="inlineStr">
        <is>
          <t>Sales and Purchasing Agents and Brokers</t>
        </is>
      </c>
      <c r="AD86" s="24" t="n">
        <v>3</v>
      </c>
      <c r="AE86" s="24" t="inlineStr">
        <is>
          <t>Technicians and Associate Professionals</t>
        </is>
      </c>
      <c r="AF86" s="24" t="inlineStr">
        <is>
          <t>3</t>
        </is>
      </c>
      <c r="AG86" s="24" t="n"/>
      <c r="AH86" s="24" t="inlineStr">
        <is>
          <t>ASC/Q 1110</t>
        </is>
      </c>
      <c r="AI86" s="24" t="n"/>
    </row>
    <row r="87" ht="45.59999999999999" customHeight="1">
      <c r="A87" s="24" t="n">
        <v>85</v>
      </c>
      <c r="B87" s="24" t="inlineStr">
        <is>
          <t>3352.9900</t>
        </is>
      </c>
      <c r="C87" s="24" t="inlineStr">
        <is>
          <t>Govt. Tax and Excise Officials, Other</t>
        </is>
      </c>
      <c r="D87" s="25" t="inlineStr">
        <is>
          <t>Government Tax and Excise Officials, other include associate professionals engaged in examining tax returns, bills of sale and other documents to determine the type and amount of taxes, duties and other types of fees to be paid by individuals or businesses not classified elsewhere.</t>
        </is>
      </c>
      <c r="E87" s="26" t="n"/>
      <c r="F87" s="26" t="n"/>
      <c r="G87" s="26" t="n"/>
      <c r="H87" s="26" t="n"/>
      <c r="I87" s="26" t="n"/>
      <c r="J87" s="26" t="n"/>
      <c r="K87" s="27" t="n"/>
      <c r="L87" s="27" t="n"/>
      <c r="M87" s="27" t="n"/>
      <c r="N87" s="27" t="n"/>
      <c r="O87" s="27" t="n"/>
      <c r="P87" s="26" t="n"/>
      <c r="Q87" s="26" t="n"/>
      <c r="R87" s="26" t="n"/>
      <c r="S87" s="26" t="n"/>
      <c r="T87" s="26" t="n"/>
      <c r="U87" s="26" t="n"/>
      <c r="V87" s="26" t="n"/>
      <c r="W87" s="26" t="n"/>
      <c r="X87" s="27" t="n"/>
      <c r="Y87" s="28">
        <f>IF(COUNTA(E87:J87,P87:W87)=0,"Not started",IF(COUNTA(E87:J87,P87:W87)&lt;14,"Incomplete",IF((AND(F87&lt;&gt;"",F87&amp;""&lt;&gt;"0",TRIM(K87)="")+AND(G87&lt;&gt;"",G87&amp;""&lt;&gt;"0",TRIM(L87)="")+AND(H87&lt;&gt;"",H87&amp;""&lt;&gt;"0",TRIM(M87)="")+AND(I87&lt;&gt;"",I87&amp;""&lt;&gt;"0",TRIM(N87)="")+AND(J87&lt;&gt;"",J87&amp;""&lt;&gt;"0",TRIM(O87)=""))&gt;0,"Add evidence","Complete")))</f>
        <v/>
      </c>
      <c r="Z87" s="24" t="inlineStr">
        <is>
          <t>3352</t>
        </is>
      </c>
      <c r="AA87" s="24" t="inlineStr">
        <is>
          <t>Government Tax and Excise Officials</t>
        </is>
      </c>
      <c r="AB87" s="24" t="inlineStr">
        <is>
          <t>335</t>
        </is>
      </c>
      <c r="AC87" s="24" t="inlineStr">
        <is>
          <t>Government Regulatory Associate Professionals</t>
        </is>
      </c>
      <c r="AD87" s="24" t="n">
        <v>3</v>
      </c>
      <c r="AE87" s="24" t="inlineStr">
        <is>
          <t>Technicians and Associate Professionals</t>
        </is>
      </c>
      <c r="AF87" s="24" t="inlineStr">
        <is>
          <t>3</t>
        </is>
      </c>
      <c r="AG87" s="24" t="inlineStr">
        <is>
          <t>3442.90</t>
        </is>
      </c>
      <c r="AH87" s="24" t="n"/>
      <c r="AI87" s="24" t="n"/>
    </row>
    <row r="88" ht="98.39999999999999" customHeight="1">
      <c r="A88" s="24" t="n">
        <v>86</v>
      </c>
      <c r="B88" s="24" t="inlineStr">
        <is>
          <t>3512.0101</t>
        </is>
      </c>
      <c r="C88" s="24" t="inlineStr">
        <is>
          <t>Domestic IT Helpdesk Attendant</t>
        </is>
      </c>
      <c r="D88" s="25" t="inlineStr">
        <is>
          <t>Domestic IT Helpdesk Attendant is mainly responsible for the smooth running of computer systems and ensuring users get maximum benefits from them. Individual tasks vary depending on the size and structure of the organization, but may include installing and configuring computer hardware operating systems and applications; monitoring and maintaining computer systems and networks; talking staff/clients through a series of actions, either face to face or over the telephone to help set up systems or resolve issues; troubleshooting system and network problems and diagnosing and solving hardware/software faults etc.</t>
        </is>
      </c>
      <c r="E88" s="26" t="n"/>
      <c r="F88" s="26" t="n"/>
      <c r="G88" s="26" t="n"/>
      <c r="H88" s="26" t="n"/>
      <c r="I88" s="26" t="n"/>
      <c r="J88" s="26" t="n"/>
      <c r="K88" s="27" t="n"/>
      <c r="L88" s="27" t="n"/>
      <c r="M88" s="27" t="n"/>
      <c r="N88" s="27" t="n"/>
      <c r="O88" s="27" t="n"/>
      <c r="P88" s="26" t="n"/>
      <c r="Q88" s="26" t="n"/>
      <c r="R88" s="26" t="n"/>
      <c r="S88" s="26" t="n"/>
      <c r="T88" s="26" t="n"/>
      <c r="U88" s="26" t="n"/>
      <c r="V88" s="26" t="n"/>
      <c r="W88" s="26" t="n"/>
      <c r="X88" s="27" t="n"/>
      <c r="Y88" s="28">
        <f>IF(COUNTA(E88:J88,P88:W88)=0,"Not started",IF(COUNTA(E88:J88,P88:W88)&lt;14,"Incomplete",IF((AND(F88&lt;&gt;"",F88&amp;""&lt;&gt;"0",TRIM(K88)="")+AND(G88&lt;&gt;"",G88&amp;""&lt;&gt;"0",TRIM(L88)="")+AND(H88&lt;&gt;"",H88&amp;""&lt;&gt;"0",TRIM(M88)="")+AND(I88&lt;&gt;"",I88&amp;""&lt;&gt;"0",TRIM(N88)="")+AND(J88&lt;&gt;"",J88&amp;""&lt;&gt;"0",TRIM(O88)=""))&gt;0,"Add evidence","Complete")))</f>
        <v/>
      </c>
      <c r="Z88" s="24" t="inlineStr">
        <is>
          <t>3512</t>
        </is>
      </c>
      <c r="AA88" s="24" t="inlineStr">
        <is>
          <t>Information and Communication Technology User Support Technicians</t>
        </is>
      </c>
      <c r="AB88" s="24" t="inlineStr">
        <is>
          <t>351</t>
        </is>
      </c>
      <c r="AC88" s="24" t="inlineStr">
        <is>
          <t>Information and Communication Technology Operations and User Support Technicians</t>
        </is>
      </c>
      <c r="AD88" s="24" t="n">
        <v>3</v>
      </c>
      <c r="AE88" s="24" t="inlineStr">
        <is>
          <t>Technicians and Associate Professionals</t>
        </is>
      </c>
      <c r="AF88" s="24" t="inlineStr">
        <is>
          <t>3</t>
        </is>
      </c>
      <c r="AG88" s="24" t="n"/>
      <c r="AH88" s="24" t="inlineStr">
        <is>
          <t>SSC/Q0110</t>
        </is>
      </c>
      <c r="AI88" s="24" t="n"/>
    </row>
    <row r="89" ht="111.6" customHeight="1">
      <c r="A89" s="24" t="n">
        <v>87</v>
      </c>
      <c r="B89" s="24" t="inlineStr">
        <is>
          <t>3512.0700</t>
        </is>
      </c>
      <c r="C89" s="24" t="inlineStr">
        <is>
          <t>Medical Transcriptionist</t>
        </is>
      </c>
      <c r="D89" s="25" t="inlineStr">
        <is>
          <t>Medical Transcriptionists use computer and transcribing machines with headset and foot pedal or voice mail to listen to recordings by physicians and other healthcare professionals dictating a variety of medical reports, such as emergency room visits, diagnostic imaging studies, operations, chart reviews, and final summaries. Carries out programming tasks connected with the installation and maintenance of computer hardware and software. Transcribes dictated reports and translates medical jargon and abbreviations into their expanded forms. Edits as necessary and returns reports in either printed or electronic form by mail/e-mail to the dictator for review and signature, or correction.</t>
        </is>
      </c>
      <c r="E89" s="26" t="n"/>
      <c r="F89" s="26" t="n"/>
      <c r="G89" s="26" t="n"/>
      <c r="H89" s="26" t="n"/>
      <c r="I89" s="26" t="n"/>
      <c r="J89" s="26" t="n"/>
      <c r="K89" s="27" t="n"/>
      <c r="L89" s="27" t="n"/>
      <c r="M89" s="27" t="n"/>
      <c r="N89" s="27" t="n"/>
      <c r="O89" s="27" t="n"/>
      <c r="P89" s="26" t="n"/>
      <c r="Q89" s="26" t="n"/>
      <c r="R89" s="26" t="n"/>
      <c r="S89" s="26" t="n"/>
      <c r="T89" s="26" t="n"/>
      <c r="U89" s="26" t="n"/>
      <c r="V89" s="26" t="n"/>
      <c r="W89" s="26" t="n"/>
      <c r="X89" s="27" t="n"/>
      <c r="Y89" s="28">
        <f>IF(COUNTA(E89:J89,P89:W89)=0,"Not started",IF(COUNTA(E89:J89,P89:W89)&lt;14,"Incomplete",IF((AND(F89&lt;&gt;"",F89&amp;""&lt;&gt;"0",TRIM(K89)="")+AND(G89&lt;&gt;"",G89&amp;""&lt;&gt;"0",TRIM(L89)="")+AND(H89&lt;&gt;"",H89&amp;""&lt;&gt;"0",TRIM(M89)="")+AND(I89&lt;&gt;"",I89&amp;""&lt;&gt;"0",TRIM(N89)="")+AND(J89&lt;&gt;"",J89&amp;""&lt;&gt;"0",TRIM(O89)=""))&gt;0,"Add evidence","Complete")))</f>
        <v/>
      </c>
      <c r="Z89" s="24" t="inlineStr">
        <is>
          <t>3512</t>
        </is>
      </c>
      <c r="AA89" s="24" t="inlineStr">
        <is>
          <t>Information and Communication Technology User Support Technicians</t>
        </is>
      </c>
      <c r="AB89" s="24" t="inlineStr">
        <is>
          <t>351</t>
        </is>
      </c>
      <c r="AC89" s="24" t="inlineStr">
        <is>
          <t>Information and Communication Technology Operations and User Support Technicians</t>
        </is>
      </c>
      <c r="AD89" s="24" t="n">
        <v>3</v>
      </c>
      <c r="AE89" s="24" t="inlineStr">
        <is>
          <t>Technicians and Associate Professionals</t>
        </is>
      </c>
      <c r="AF89" s="24" t="inlineStr">
        <is>
          <t>3</t>
        </is>
      </c>
      <c r="AG89" s="24" t="inlineStr">
        <is>
          <t>3121.40</t>
        </is>
      </c>
      <c r="AH89" s="24" t="n"/>
      <c r="AI89" s="24" t="n"/>
    </row>
    <row r="90" ht="45.59999999999999" customHeight="1">
      <c r="A90" s="24" t="n">
        <v>88</v>
      </c>
      <c r="B90" s="24" t="inlineStr">
        <is>
          <t>3512.9900</t>
        </is>
      </c>
      <c r="C90" s="24" t="inlineStr">
        <is>
          <t>Information and Communication Technology User Support Technicians, Other</t>
        </is>
      </c>
      <c r="D90" s="25" t="inlineStr">
        <is>
          <t>Computer Assistants, Other include all other Computer Assistants not elsewhere classified.</t>
        </is>
      </c>
      <c r="E90" s="26" t="n"/>
      <c r="F90" s="26" t="n"/>
      <c r="G90" s="26" t="n"/>
      <c r="H90" s="26" t="n"/>
      <c r="I90" s="26" t="n"/>
      <c r="J90" s="26" t="n"/>
      <c r="K90" s="27" t="n"/>
      <c r="L90" s="27" t="n"/>
      <c r="M90" s="27" t="n"/>
      <c r="N90" s="27" t="n"/>
      <c r="O90" s="27" t="n"/>
      <c r="P90" s="26" t="n"/>
      <c r="Q90" s="26" t="n"/>
      <c r="R90" s="26" t="n"/>
      <c r="S90" s="26" t="n"/>
      <c r="T90" s="26" t="n"/>
      <c r="U90" s="26" t="n"/>
      <c r="V90" s="26" t="n"/>
      <c r="W90" s="26" t="n"/>
      <c r="X90" s="27" t="n"/>
      <c r="Y90" s="28">
        <f>IF(COUNTA(E90:J90,P90:W90)=0,"Not started",IF(COUNTA(E90:J90,P90:W90)&lt;14,"Incomplete",IF((AND(F90&lt;&gt;"",F90&amp;""&lt;&gt;"0",TRIM(K90)="")+AND(G90&lt;&gt;"",G90&amp;""&lt;&gt;"0",TRIM(L90)="")+AND(H90&lt;&gt;"",H90&amp;""&lt;&gt;"0",TRIM(M90)="")+AND(I90&lt;&gt;"",I90&amp;""&lt;&gt;"0",TRIM(N90)="")+AND(J90&lt;&gt;"",J90&amp;""&lt;&gt;"0",TRIM(O90)=""))&gt;0,"Add evidence","Complete")))</f>
        <v/>
      </c>
      <c r="Z90" s="24" t="inlineStr">
        <is>
          <t>3512</t>
        </is>
      </c>
      <c r="AA90" s="24" t="inlineStr">
        <is>
          <t>Information and Communication Technology User Support Technicians</t>
        </is>
      </c>
      <c r="AB90" s="24" t="inlineStr">
        <is>
          <t>351</t>
        </is>
      </c>
      <c r="AC90" s="24" t="inlineStr">
        <is>
          <t>Information and Communication Technology Operations and User Support Technicians</t>
        </is>
      </c>
      <c r="AD90" s="24" t="n">
        <v>3</v>
      </c>
      <c r="AE90" s="24" t="inlineStr">
        <is>
          <t>Technicians and Associate Professionals</t>
        </is>
      </c>
      <c r="AF90" s="24" t="inlineStr">
        <is>
          <t>3</t>
        </is>
      </c>
      <c r="AG90" s="24" t="inlineStr">
        <is>
          <t>3121.90</t>
        </is>
      </c>
      <c r="AH90" s="24" t="n"/>
      <c r="AI90" s="24" t="n"/>
    </row>
    <row r="91" ht="85.19999999999999" customHeight="1">
      <c r="A91" s="24" t="n">
        <v>89</v>
      </c>
      <c r="B91" s="24" t="inlineStr">
        <is>
          <t>3513.0100</t>
        </is>
      </c>
      <c r="C91" s="24" t="inlineStr">
        <is>
          <t>System Administration Assistant/Junior System Administrator</t>
        </is>
      </c>
      <c r="D91" s="25" t="inlineStr">
        <is>
          <t>System Administration Assistant provides assistance to users of microcomputers and standard software systems at installation and when a problem occurs. Installs/reinstalls new computer programs on particular hardware and operating system configurations. Installs new peripheral units and makes necessary parameter adjustments in operating systems and drives. Performs back-up operations. Keeps log of computing systems. May receive guidance from Managers or professionals. May supervise other workers also</t>
        </is>
      </c>
      <c r="E91" s="26" t="n"/>
      <c r="F91" s="26" t="n"/>
      <c r="G91" s="26" t="n"/>
      <c r="H91" s="26" t="n"/>
      <c r="I91" s="26" t="n"/>
      <c r="J91" s="26" t="n"/>
      <c r="K91" s="27" t="n"/>
      <c r="L91" s="27" t="n"/>
      <c r="M91" s="27" t="n"/>
      <c r="N91" s="27" t="n"/>
      <c r="O91" s="27" t="n"/>
      <c r="P91" s="26" t="n"/>
      <c r="Q91" s="26" t="n"/>
      <c r="R91" s="26" t="n"/>
      <c r="S91" s="26" t="n"/>
      <c r="T91" s="26" t="n"/>
      <c r="U91" s="26" t="n"/>
      <c r="V91" s="26" t="n"/>
      <c r="W91" s="26" t="n"/>
      <c r="X91" s="27" t="n"/>
      <c r="Y91" s="28">
        <f>IF(COUNTA(E91:J91,P91:W91)=0,"Not started",IF(COUNTA(E91:J91,P91:W91)&lt;14,"Incomplete",IF((AND(F91&lt;&gt;"",F91&amp;""&lt;&gt;"0",TRIM(K91)="")+AND(G91&lt;&gt;"",G91&amp;""&lt;&gt;"0",TRIM(L91)="")+AND(H91&lt;&gt;"",H91&amp;""&lt;&gt;"0",TRIM(M91)="")+AND(I91&lt;&gt;"",I91&amp;""&lt;&gt;"0",TRIM(N91)="")+AND(J91&lt;&gt;"",J91&amp;""&lt;&gt;"0",TRIM(O91)=""))&gt;0,"Add evidence","Complete")))</f>
        <v/>
      </c>
      <c r="Z91" s="24" t="inlineStr">
        <is>
          <t>3513</t>
        </is>
      </c>
      <c r="AA91" s="24" t="inlineStr">
        <is>
          <t>Computer Network and Systems Technician</t>
        </is>
      </c>
      <c r="AB91" s="24" t="inlineStr">
        <is>
          <t>351</t>
        </is>
      </c>
      <c r="AC91" s="24" t="inlineStr">
        <is>
          <t>Information and Communication Technology Operations and User Support Technicians</t>
        </is>
      </c>
      <c r="AD91" s="24" t="n">
        <v>3</v>
      </c>
      <c r="AE91" s="24" t="inlineStr">
        <is>
          <t>Technicians and Associate Professionals</t>
        </is>
      </c>
      <c r="AF91" s="24" t="inlineStr">
        <is>
          <t>3</t>
        </is>
      </c>
      <c r="AG91" s="24" t="inlineStr">
        <is>
          <t>3121.10</t>
        </is>
      </c>
      <c r="AH91" s="24" t="n"/>
      <c r="AI91" s="24" t="n"/>
    </row>
    <row r="92" ht="164.4" customHeight="1">
      <c r="A92" s="24" t="n">
        <v>90</v>
      </c>
      <c r="B92" s="24" t="inlineStr">
        <is>
          <t>3513.0200</t>
        </is>
      </c>
      <c r="C92" s="24" t="inlineStr">
        <is>
          <t>Computer Security Specialist</t>
        </is>
      </c>
      <c r="D92" s="25" t="inlineStr">
        <is>
          <t>Computer Security Specialist regulates access to computer data files, monitors data file use, and updates computer security files: Enters commands into computer to allow access to computer system for employee who forgot password. Reads computer security files to determine whether denial of data access reported by employee is justified. Modifies security files to correct error, or explains that employee authorisation does not permit access. Answers employee questions about computer security. Modifies security files to add new employees, delete former employees, and change employee name, following notice received from computer user departments and personnel office. Sends printouts listing employee data authorisation to computer user departments to verify or correct information in security files. Reviews data use records and compares user names listed in records with employee authorisation to ensure that all employees who accessed data files were entitled to do so. Deletes data access of unauthorised users, and for users who have not used data for specified time.</t>
        </is>
      </c>
      <c r="E92" s="26" t="n"/>
      <c r="F92" s="26" t="n"/>
      <c r="G92" s="26" t="n"/>
      <c r="H92" s="26" t="n"/>
      <c r="I92" s="26" t="n"/>
      <c r="J92" s="26" t="n"/>
      <c r="K92" s="27" t="n"/>
      <c r="L92" s="27" t="n"/>
      <c r="M92" s="27" t="n"/>
      <c r="N92" s="27" t="n"/>
      <c r="O92" s="27" t="n"/>
      <c r="P92" s="26" t="n"/>
      <c r="Q92" s="26" t="n"/>
      <c r="R92" s="26" t="n"/>
      <c r="S92" s="26" t="n"/>
      <c r="T92" s="26" t="n"/>
      <c r="U92" s="26" t="n"/>
      <c r="V92" s="26" t="n"/>
      <c r="W92" s="26" t="n"/>
      <c r="X92" s="27" t="n"/>
      <c r="Y92" s="28">
        <f>IF(COUNTA(E92:J92,P92:W92)=0,"Not started",IF(COUNTA(E92:J92,P92:W92)&lt;14,"Incomplete",IF((AND(F92&lt;&gt;"",F92&amp;""&lt;&gt;"0",TRIM(K92)="")+AND(G92&lt;&gt;"",G92&amp;""&lt;&gt;"0",TRIM(L92)="")+AND(H92&lt;&gt;"",H92&amp;""&lt;&gt;"0",TRIM(M92)="")+AND(I92&lt;&gt;"",I92&amp;""&lt;&gt;"0",TRIM(N92)="")+AND(J92&lt;&gt;"",J92&amp;""&lt;&gt;"0",TRIM(O92)=""))&gt;0,"Add evidence","Complete")))</f>
        <v/>
      </c>
      <c r="Z92" s="24" t="inlineStr">
        <is>
          <t>3513</t>
        </is>
      </c>
      <c r="AA92" s="24" t="inlineStr">
        <is>
          <t>Computer Network and Systems Technician</t>
        </is>
      </c>
      <c r="AB92" s="24" t="inlineStr">
        <is>
          <t>351</t>
        </is>
      </c>
      <c r="AC92" s="24" t="inlineStr">
        <is>
          <t>Information and Communication Technology Operations and User Support Technicians</t>
        </is>
      </c>
      <c r="AD92" s="24" t="n">
        <v>3</v>
      </c>
      <c r="AE92" s="24" t="inlineStr">
        <is>
          <t>Technicians and Associate Professionals</t>
        </is>
      </c>
      <c r="AF92" s="24" t="inlineStr">
        <is>
          <t>3</t>
        </is>
      </c>
      <c r="AG92" s="24" t="inlineStr">
        <is>
          <t>3121.30</t>
        </is>
      </c>
      <c r="AH92" s="24" t="n"/>
      <c r="AI92" s="24" t="n"/>
    </row>
    <row r="93" ht="32.4" customHeight="1">
      <c r="A93" s="24" t="n">
        <v>91</v>
      </c>
      <c r="B93" s="24" t="inlineStr">
        <is>
          <t>3513.9900</t>
        </is>
      </c>
      <c r="C93" s="24" t="inlineStr">
        <is>
          <t>Computer Network and Systems Technician, other</t>
        </is>
      </c>
      <c r="D93" s="25" t="inlineStr">
        <is>
          <t>Computer Network and Systems Technician, other include technicians who establish, operate and maintain network and other data communications systems not elsewhere classified.</t>
        </is>
      </c>
      <c r="E93" s="26" t="n"/>
      <c r="F93" s="26" t="n"/>
      <c r="G93" s="26" t="n"/>
      <c r="H93" s="26" t="n"/>
      <c r="I93" s="26" t="n"/>
      <c r="J93" s="26" t="n"/>
      <c r="K93" s="27" t="n"/>
      <c r="L93" s="27" t="n"/>
      <c r="M93" s="27" t="n"/>
      <c r="N93" s="27" t="n"/>
      <c r="O93" s="27" t="n"/>
      <c r="P93" s="26" t="n"/>
      <c r="Q93" s="26" t="n"/>
      <c r="R93" s="26" t="n"/>
      <c r="S93" s="26" t="n"/>
      <c r="T93" s="26" t="n"/>
      <c r="U93" s="26" t="n"/>
      <c r="V93" s="26" t="n"/>
      <c r="W93" s="26" t="n"/>
      <c r="X93" s="27" t="n"/>
      <c r="Y93" s="28">
        <f>IF(COUNTA(E93:J93,P93:W93)=0,"Not started",IF(COUNTA(E93:J93,P93:W93)&lt;14,"Incomplete",IF((AND(F93&lt;&gt;"",F93&amp;""&lt;&gt;"0",TRIM(K93)="")+AND(G93&lt;&gt;"",G93&amp;""&lt;&gt;"0",TRIM(L93)="")+AND(H93&lt;&gt;"",H93&amp;""&lt;&gt;"0",TRIM(M93)="")+AND(I93&lt;&gt;"",I93&amp;""&lt;&gt;"0",TRIM(N93)="")+AND(J93&lt;&gt;"",J93&amp;""&lt;&gt;"0",TRIM(O93)=""))&gt;0,"Add evidence","Complete")))</f>
        <v/>
      </c>
      <c r="Z93" s="24" t="inlineStr">
        <is>
          <t>3513</t>
        </is>
      </c>
      <c r="AA93" s="24" t="inlineStr">
        <is>
          <t>Computer Network and Systems Technician</t>
        </is>
      </c>
      <c r="AB93" s="24" t="inlineStr">
        <is>
          <t>351</t>
        </is>
      </c>
      <c r="AC93" s="24" t="inlineStr">
        <is>
          <t>Information and Communication Technology Operations and User Support Technicians</t>
        </is>
      </c>
      <c r="AD93" s="24" t="n">
        <v>3</v>
      </c>
      <c r="AE93" s="24" t="inlineStr">
        <is>
          <t>Technicians and Associate Professionals</t>
        </is>
      </c>
      <c r="AF93" s="24" t="inlineStr">
        <is>
          <t>3</t>
        </is>
      </c>
      <c r="AG93" s="24" t="n"/>
      <c r="AH93" s="24" t="n"/>
      <c r="AI93" s="24" t="n"/>
    </row>
    <row r="94" ht="111.6" customHeight="1">
      <c r="A94" s="24" t="n">
        <v>92</v>
      </c>
      <c r="B94" s="24" t="inlineStr">
        <is>
          <t>3521.1700</t>
        </is>
      </c>
      <c r="C94" s="24" t="inlineStr">
        <is>
          <t>Radar Operator</t>
        </is>
      </c>
      <c r="D94" s="25" t="inlineStr">
        <is>
          <t>Radar Operator operates and maintains radar equipment to give range and direction of targets or objects such as aircrafts, fog, rain clouds and cyclonic storm in sky around operating station. Switches on radar set and opens filaments and blower units. Allows set to warm up and raises high-tension voltage slowly to achieve operating condition. Switches aerial rotation circuit, and observes image on radar screen with aid of short, medium or long range scales to determine distance altitude, direction and speed of object detected. Employs voice communication (Radio-telephone or Morse) to convey information to operating room. May attend to minor faults to maintain set in operating conditions.</t>
        </is>
      </c>
      <c r="E94" s="26" t="n"/>
      <c r="F94" s="26" t="n"/>
      <c r="G94" s="26" t="n"/>
      <c r="H94" s="26" t="n"/>
      <c r="I94" s="26" t="n"/>
      <c r="J94" s="26" t="n"/>
      <c r="K94" s="27" t="n"/>
      <c r="L94" s="27" t="n"/>
      <c r="M94" s="27" t="n"/>
      <c r="N94" s="27" t="n"/>
      <c r="O94" s="27" t="n"/>
      <c r="P94" s="26" t="n"/>
      <c r="Q94" s="26" t="n"/>
      <c r="R94" s="26" t="n"/>
      <c r="S94" s="26" t="n"/>
      <c r="T94" s="26" t="n"/>
      <c r="U94" s="26" t="n"/>
      <c r="V94" s="26" t="n"/>
      <c r="W94" s="26" t="n"/>
      <c r="X94" s="27" t="n"/>
      <c r="Y94" s="28">
        <f>IF(COUNTA(E94:J94,P94:W94)=0,"Not started",IF(COUNTA(E94:J94,P94:W94)&lt;14,"Incomplete",IF((AND(F94&lt;&gt;"",F94&amp;""&lt;&gt;"0",TRIM(K94)="")+AND(G94&lt;&gt;"",G94&amp;""&lt;&gt;"0",TRIM(L94)="")+AND(H94&lt;&gt;"",H94&amp;""&lt;&gt;"0",TRIM(M94)="")+AND(I94&lt;&gt;"",I94&amp;""&lt;&gt;"0",TRIM(N94)="")+AND(J94&lt;&gt;"",J94&amp;""&lt;&gt;"0",TRIM(O94)=""))&gt;0,"Add evidence","Complete")))</f>
        <v/>
      </c>
      <c r="Z94" s="24" t="inlineStr">
        <is>
          <t>3521</t>
        </is>
      </c>
      <c r="AA94" s="24" t="inlineStr">
        <is>
          <t>Broadcasting and Audiovisual Technicians</t>
        </is>
      </c>
      <c r="AB94" s="24" t="inlineStr">
        <is>
          <t>352</t>
        </is>
      </c>
      <c r="AC94" s="24" t="inlineStr">
        <is>
          <t>Telecommunication and Broadcasting Technicians</t>
        </is>
      </c>
      <c r="AD94" s="24" t="n">
        <v>3</v>
      </c>
      <c r="AE94" s="24" t="inlineStr">
        <is>
          <t>Technicians and Associate Professionals</t>
        </is>
      </c>
      <c r="AF94" s="24" t="inlineStr">
        <is>
          <t>3</t>
        </is>
      </c>
      <c r="AG94" s="24" t="inlineStr">
        <is>
          <t>3132.80</t>
        </is>
      </c>
      <c r="AH94" s="24" t="n"/>
      <c r="AI94" s="24" t="n"/>
    </row>
    <row r="95" ht="151.2" customHeight="1">
      <c r="A95" s="24" t="n">
        <v>93</v>
      </c>
      <c r="B95" s="24" t="inlineStr">
        <is>
          <t>4120.0200</t>
        </is>
      </c>
      <c r="C95" s="24" t="inlineStr">
        <is>
          <t>Personal Secretary</t>
        </is>
      </c>
      <c r="D95" s="25" t="inlineStr">
        <is>
          <t>Personal Secretary performs routine clerical and administrative functions such as drafting correspondence, scheduling appointments, organizing and maintaining paper and electronic files, or providing information to callers. Operates office equipment such as fax machines, copiers, and phone systems, and use computers for spreadsheet, word processing, database management, and other applications. Answers telephones and give information to callers, take messages, or transfer calls to appropriate individuals. Greets visitors and callers, handle their inquiries, and direct them to the appropriate persons according to their needs. Sets up and maintains paper and electronic filing systems for records, correspondence, and other material. Locates and attaches appropriate files to incoming correspondence requiring replies. Opens, reads, routes, and distributes incoming mail and other material, and prepares answers to routine letters. Completes forms in accordance with company procedures.</t>
        </is>
      </c>
      <c r="E95" s="26" t="n"/>
      <c r="F95" s="26" t="n"/>
      <c r="G95" s="26" t="n"/>
      <c r="H95" s="26" t="n"/>
      <c r="I95" s="26" t="n"/>
      <c r="J95" s="26" t="n"/>
      <c r="K95" s="27" t="n"/>
      <c r="L95" s="27" t="n"/>
      <c r="M95" s="27" t="n"/>
      <c r="N95" s="27" t="n"/>
      <c r="O95" s="27" t="n"/>
      <c r="P95" s="26" t="n"/>
      <c r="Q95" s="26" t="n"/>
      <c r="R95" s="26" t="n"/>
      <c r="S95" s="26" t="n"/>
      <c r="T95" s="26" t="n"/>
      <c r="U95" s="26" t="n"/>
      <c r="V95" s="26" t="n"/>
      <c r="W95" s="26" t="n"/>
      <c r="X95" s="27" t="n"/>
      <c r="Y95" s="28">
        <f>IF(COUNTA(E95:J95,P95:W95)=0,"Not started",IF(COUNTA(E95:J95,P95:W95)&lt;14,"Incomplete",IF((AND(F95&lt;&gt;"",F95&amp;""&lt;&gt;"0",TRIM(K95)="")+AND(G95&lt;&gt;"",G95&amp;""&lt;&gt;"0",TRIM(L95)="")+AND(H95&lt;&gt;"",H95&amp;""&lt;&gt;"0",TRIM(M95)="")+AND(I95&lt;&gt;"",I95&amp;""&lt;&gt;"0",TRIM(N95)="")+AND(J95&lt;&gt;"",J95&amp;""&lt;&gt;"0",TRIM(O95)=""))&gt;0,"Add evidence","Complete")))</f>
        <v/>
      </c>
      <c r="Z95" s="24" t="inlineStr">
        <is>
          <t>4120</t>
        </is>
      </c>
      <c r="AA95" s="24" t="inlineStr">
        <is>
          <t>Secretaries (General)</t>
        </is>
      </c>
      <c r="AB95" s="24" t="inlineStr">
        <is>
          <t>412</t>
        </is>
      </c>
      <c r="AC95" s="24" t="inlineStr">
        <is>
          <t>Secretaries (General)</t>
        </is>
      </c>
      <c r="AD95" s="24" t="n">
        <v>4</v>
      </c>
      <c r="AE95" s="24" t="inlineStr">
        <is>
          <t>Clerks/Clerical Support Workers</t>
        </is>
      </c>
      <c r="AF95" s="24" t="inlineStr">
        <is>
          <t>2</t>
        </is>
      </c>
      <c r="AG95" s="24" t="inlineStr">
        <is>
          <t>4115.20</t>
        </is>
      </c>
      <c r="AH95" s="24" t="n"/>
      <c r="AI95" s="24" t="n"/>
    </row>
    <row r="96" ht="190.8" customHeight="1">
      <c r="A96" s="24" t="n">
        <v>94</v>
      </c>
      <c r="B96" s="24" t="inlineStr">
        <is>
          <t>4131.0600</t>
        </is>
      </c>
      <c r="C96" s="24" t="inlineStr">
        <is>
          <t>Computer Operator</t>
        </is>
      </c>
      <c r="D96" s="25" t="inlineStr">
        <is>
          <t>Computer Operator operates computer and peripheral equipment to process business, scientific, engineering, or other data, according to operating instructions. Enters commands, using keyboard of computer terminal, and presses buttons and flips switches on computer and peripheral equipment, such as tape drive, printer, data communications equipment, and plotter, to integrate and operate equipment, following operating instructions and schedule. Loads peripheral equipment with selected materials, such as tapes and printer paper for operating runs, or oversees loading of peripheral equipment by Peripheral Equipment Operators. Enters commands to clear computer system and start operation, using keyboard of computer terminal. Observes peripheral equipment and error messages displayed on monitor of terminal to detect faulty output or machine stoppage. Enters commands to correct error or stoppage and resume operations. Notifies supervisor of errors or equipment stoppage. Clears equipment at end of operating run and reviews schedule to determine next assignment. Records problems which occurred, such as down time, and actions taken. May answer telephone calls to assist computer users encountering problem. May assist workers in classifying, cataloguing, and maintaining tapes.</t>
        </is>
      </c>
      <c r="E96" s="26" t="n"/>
      <c r="F96" s="26" t="n"/>
      <c r="G96" s="26" t="n"/>
      <c r="H96" s="26" t="n"/>
      <c r="I96" s="26" t="n"/>
      <c r="J96" s="26" t="n"/>
      <c r="K96" s="27" t="n"/>
      <c r="L96" s="27" t="n"/>
      <c r="M96" s="27" t="n"/>
      <c r="N96" s="27" t="n"/>
      <c r="O96" s="27" t="n"/>
      <c r="P96" s="26" t="n"/>
      <c r="Q96" s="26" t="n"/>
      <c r="R96" s="26" t="n"/>
      <c r="S96" s="26" t="n"/>
      <c r="T96" s="26" t="n"/>
      <c r="U96" s="26" t="n"/>
      <c r="V96" s="26" t="n"/>
      <c r="W96" s="26" t="n"/>
      <c r="X96" s="27" t="n"/>
      <c r="Y96" s="28">
        <f>IF(COUNTA(E96:J96,P96:W96)=0,"Not started",IF(COUNTA(E96:J96,P96:W96)&lt;14,"Incomplete",IF((AND(F96&lt;&gt;"",F96&amp;""&lt;&gt;"0",TRIM(K96)="")+AND(G96&lt;&gt;"",G96&amp;""&lt;&gt;"0",TRIM(L96)="")+AND(H96&lt;&gt;"",H96&amp;""&lt;&gt;"0",TRIM(M96)="")+AND(I96&lt;&gt;"",I96&amp;""&lt;&gt;"0",TRIM(N96)="")+AND(J96&lt;&gt;"",J96&amp;""&lt;&gt;"0",TRIM(O96)=""))&gt;0,"Add evidence","Complete")))</f>
        <v/>
      </c>
      <c r="Z96" s="24" t="inlineStr">
        <is>
          <t>4131</t>
        </is>
      </c>
      <c r="AA96" s="24" t="inlineStr">
        <is>
          <t>Typists and Word Processing Operators</t>
        </is>
      </c>
      <c r="AB96" s="24" t="inlineStr">
        <is>
          <t>413</t>
        </is>
      </c>
      <c r="AC96" s="24" t="inlineStr">
        <is>
          <t>Keyboard Operators</t>
        </is>
      </c>
      <c r="AD96" s="24" t="n">
        <v>4</v>
      </c>
      <c r="AE96" s="24" t="inlineStr">
        <is>
          <t>Clerks/Clerical Support Workers</t>
        </is>
      </c>
      <c r="AF96" s="24" t="inlineStr">
        <is>
          <t>2</t>
        </is>
      </c>
      <c r="AG96" s="24" t="inlineStr">
        <is>
          <t>4112.20</t>
        </is>
      </c>
      <c r="AH96" s="24" t="n"/>
      <c r="AI96" s="24" t="n"/>
    </row>
    <row r="97" ht="32.4" customHeight="1">
      <c r="A97" s="24" t="n">
        <v>95</v>
      </c>
      <c r="B97" s="24" t="inlineStr">
        <is>
          <t>4131.9900</t>
        </is>
      </c>
      <c r="C97" s="24" t="inlineStr">
        <is>
          <t>Typists and Word Processing Operators, Other</t>
        </is>
      </c>
      <c r="D97" s="25" t="inlineStr">
        <is>
          <t>Word processor and Related Operators, other include all others who type, edit, and print various documents using wordprocessing equipment not elsewhere classified.</t>
        </is>
      </c>
      <c r="E97" s="26" t="n"/>
      <c r="F97" s="26" t="n"/>
      <c r="G97" s="26" t="n"/>
      <c r="H97" s="26" t="n"/>
      <c r="I97" s="26" t="n"/>
      <c r="J97" s="26" t="n"/>
      <c r="K97" s="27" t="n"/>
      <c r="L97" s="27" t="n"/>
      <c r="M97" s="27" t="n"/>
      <c r="N97" s="27" t="n"/>
      <c r="O97" s="27" t="n"/>
      <c r="P97" s="26" t="n"/>
      <c r="Q97" s="26" t="n"/>
      <c r="R97" s="26" t="n"/>
      <c r="S97" s="26" t="n"/>
      <c r="T97" s="26" t="n"/>
      <c r="U97" s="26" t="n"/>
      <c r="V97" s="26" t="n"/>
      <c r="W97" s="26" t="n"/>
      <c r="X97" s="27" t="n"/>
      <c r="Y97" s="28">
        <f>IF(COUNTA(E97:J97,P97:W97)=0,"Not started",IF(COUNTA(E97:J97,P97:W97)&lt;14,"Incomplete",IF((AND(F97&lt;&gt;"",F97&amp;""&lt;&gt;"0",TRIM(K97)="")+AND(G97&lt;&gt;"",G97&amp;""&lt;&gt;"0",TRIM(L97)="")+AND(H97&lt;&gt;"",H97&amp;""&lt;&gt;"0",TRIM(M97)="")+AND(I97&lt;&gt;"",I97&amp;""&lt;&gt;"0",TRIM(N97)="")+AND(J97&lt;&gt;"",J97&amp;""&lt;&gt;"0",TRIM(O97)=""))&gt;0,"Add evidence","Complete")))</f>
        <v/>
      </c>
      <c r="Z97" s="24" t="inlineStr">
        <is>
          <t>4131</t>
        </is>
      </c>
      <c r="AA97" s="24" t="inlineStr">
        <is>
          <t>Typists and Word Processing Operators</t>
        </is>
      </c>
      <c r="AB97" s="24" t="inlineStr">
        <is>
          <t>413</t>
        </is>
      </c>
      <c r="AC97" s="24" t="inlineStr">
        <is>
          <t>Keyboard Operators</t>
        </is>
      </c>
      <c r="AD97" s="24" t="n">
        <v>4</v>
      </c>
      <c r="AE97" s="24" t="inlineStr">
        <is>
          <t>Clerks/Clerical Support Workers</t>
        </is>
      </c>
      <c r="AF97" s="24" t="inlineStr">
        <is>
          <t>2</t>
        </is>
      </c>
      <c r="AG97" s="24" t="inlineStr">
        <is>
          <t>4112.90</t>
        </is>
      </c>
      <c r="AH97" s="24" t="n"/>
      <c r="AI97" s="24" t="n"/>
    </row>
    <row r="98" ht="98.39999999999999" customHeight="1">
      <c r="A98" s="24" t="n">
        <v>96</v>
      </c>
      <c r="B98" s="24" t="inlineStr">
        <is>
          <t>4132.0401</t>
        </is>
      </c>
      <c r="C98" s="24" t="inlineStr">
        <is>
          <t>Data Entry Machine Operator</t>
        </is>
      </c>
      <c r="D98" s="25" t="inlineStr">
        <is>
          <t>Data Entry Operator operates keyboard or other data entry device to enter data into computer or onto magnetic tape or disk for subsequent entry: Enters alphabetic, numeric, or symbolic data from source documents into computer, using data entry device, such as keyboard or optical scanner, and following format displayed on screen. Compares data entered with source documents, or re-enters data in verification format on screen to detect errors. Deletes incorrectly entered data, and re-enters correct data. May compile, sort, and verify accuracy of data to be entered. May keep record of work completed.</t>
        </is>
      </c>
      <c r="E98" s="26" t="n"/>
      <c r="F98" s="26" t="n"/>
      <c r="G98" s="26" t="n"/>
      <c r="H98" s="26" t="n"/>
      <c r="I98" s="26" t="n"/>
      <c r="J98" s="26" t="n"/>
      <c r="K98" s="27" t="n"/>
      <c r="L98" s="27" t="n"/>
      <c r="M98" s="27" t="n"/>
      <c r="N98" s="27" t="n"/>
      <c r="O98" s="27" t="n"/>
      <c r="P98" s="26" t="n"/>
      <c r="Q98" s="26" t="n"/>
      <c r="R98" s="26" t="n"/>
      <c r="S98" s="26" t="n"/>
      <c r="T98" s="26" t="n"/>
      <c r="U98" s="26" t="n"/>
      <c r="V98" s="26" t="n"/>
      <c r="W98" s="26" t="n"/>
      <c r="X98" s="27" t="n"/>
      <c r="Y98" s="28">
        <f>IF(COUNTA(E98:J98,P98:W98)=0,"Not started",IF(COUNTA(E98:J98,P98:W98)&lt;14,"Incomplete",IF((AND(F98&lt;&gt;"",F98&amp;""&lt;&gt;"0",TRIM(K98)="")+AND(G98&lt;&gt;"",G98&amp;""&lt;&gt;"0",TRIM(L98)="")+AND(H98&lt;&gt;"",H98&amp;""&lt;&gt;"0",TRIM(M98)="")+AND(I98&lt;&gt;"",I98&amp;""&lt;&gt;"0",TRIM(N98)="")+AND(J98&lt;&gt;"",J98&amp;""&lt;&gt;"0",TRIM(O98)=""))&gt;0,"Add evidence","Complete")))</f>
        <v/>
      </c>
      <c r="Z98" s="24" t="inlineStr">
        <is>
          <t>4132</t>
        </is>
      </c>
      <c r="AA98" s="24" t="inlineStr">
        <is>
          <t>Data Entry Clerks</t>
        </is>
      </c>
      <c r="AB98" s="24" t="inlineStr">
        <is>
          <t>413</t>
        </is>
      </c>
      <c r="AC98" s="24" t="inlineStr">
        <is>
          <t>Keyboard Operators</t>
        </is>
      </c>
      <c r="AD98" s="24" t="n">
        <v>4</v>
      </c>
      <c r="AE98" s="24" t="inlineStr">
        <is>
          <t>Clerks/Clerical Support Workers</t>
        </is>
      </c>
      <c r="AF98" s="24" t="inlineStr">
        <is>
          <t>2</t>
        </is>
      </c>
      <c r="AG98" s="24" t="inlineStr">
        <is>
          <t>4113.35</t>
        </is>
      </c>
      <c r="AH98" s="24" t="inlineStr">
        <is>
          <t>G&amp;J/Q4303</t>
        </is>
      </c>
      <c r="AI98" s="24" t="n"/>
    </row>
    <row r="99" ht="98.39999999999999" customHeight="1">
      <c r="A99" s="24" t="n">
        <v>97</v>
      </c>
      <c r="B99" s="24" t="inlineStr">
        <is>
          <t>4223.0200</t>
        </is>
      </c>
      <c r="C99" s="24" t="inlineStr">
        <is>
          <t>Telephone Operator, Local</t>
        </is>
      </c>
      <c r="D99" s="25" t="inlineStr">
        <is>
          <t>Telephone Operator, Local operates telephone switch board to establish telephone connections of subscribers for local calls. Watches calling indications on switch board. Inserts answering plug in corresponding jack, depresses speak key and attends calling indication by saying "Number Please". Repeats number called to subscriber for confirmation. Watches switch board plugs and informs caller if required number is engaged. Inserts calling plug in required jack, if free, and puts through call. Watches indication of finishing call and draws out plugs on noticing clearance. May work on trunk, P.B.X and special services.</t>
        </is>
      </c>
      <c r="E99" s="26" t="n"/>
      <c r="F99" s="26" t="n"/>
      <c r="G99" s="26" t="n"/>
      <c r="H99" s="26" t="n"/>
      <c r="I99" s="26" t="n"/>
      <c r="J99" s="26" t="n"/>
      <c r="K99" s="27" t="n"/>
      <c r="L99" s="27" t="n"/>
      <c r="M99" s="27" t="n"/>
      <c r="N99" s="27" t="n"/>
      <c r="O99" s="27" t="n"/>
      <c r="P99" s="26" t="n"/>
      <c r="Q99" s="26" t="n"/>
      <c r="R99" s="26" t="n"/>
      <c r="S99" s="26" t="n"/>
      <c r="T99" s="26" t="n"/>
      <c r="U99" s="26" t="n"/>
      <c r="V99" s="26" t="n"/>
      <c r="W99" s="26" t="n"/>
      <c r="X99" s="27" t="n"/>
      <c r="Y99" s="28">
        <f>IF(COUNTA(E99:J99,P99:W99)=0,"Not started",IF(COUNTA(E99:J99,P99:W99)&lt;14,"Incomplete",IF((AND(F99&lt;&gt;"",F99&amp;""&lt;&gt;"0",TRIM(K99)="")+AND(G99&lt;&gt;"",G99&amp;""&lt;&gt;"0",TRIM(L99)="")+AND(H99&lt;&gt;"",H99&amp;""&lt;&gt;"0",TRIM(M99)="")+AND(I99&lt;&gt;"",I99&amp;""&lt;&gt;"0",TRIM(N99)="")+AND(J99&lt;&gt;"",J99&amp;""&lt;&gt;"0",TRIM(O99)=""))&gt;0,"Add evidence","Complete")))</f>
        <v/>
      </c>
      <c r="Z99" s="24" t="inlineStr">
        <is>
          <t>4223</t>
        </is>
      </c>
      <c r="AA99" s="24" t="inlineStr">
        <is>
          <t>Telephone Switchboard Operators</t>
        </is>
      </c>
      <c r="AB99" s="24" t="inlineStr">
        <is>
          <t>422</t>
        </is>
      </c>
      <c r="AC99" s="24" t="inlineStr">
        <is>
          <t>Client Information Workers</t>
        </is>
      </c>
      <c r="AD99" s="24" t="n">
        <v>4</v>
      </c>
      <c r="AE99" s="24" t="inlineStr">
        <is>
          <t>Clerks/Clerical Support Workers</t>
        </is>
      </c>
      <c r="AF99" s="24" t="inlineStr">
        <is>
          <t>2</t>
        </is>
      </c>
      <c r="AG99" s="24" t="inlineStr">
        <is>
          <t>4222.20</t>
        </is>
      </c>
      <c r="AH99" s="24" t="n"/>
      <c r="AI99" s="24" t="n"/>
    </row>
    <row r="100" ht="32.4" customHeight="1">
      <c r="A100" s="24" t="n">
        <v>98</v>
      </c>
      <c r="B100" s="24" t="inlineStr">
        <is>
          <t>4223.0300</t>
        </is>
      </c>
      <c r="C100" s="24" t="inlineStr">
        <is>
          <t>Telephone Operator, PBX</t>
        </is>
      </c>
      <c r="D100" s="25" t="inlineStr">
        <is>
          <t>Telephone Operator, PBX</t>
        </is>
      </c>
      <c r="E100" s="26" t="n"/>
      <c r="F100" s="26" t="n"/>
      <c r="G100" s="26" t="n"/>
      <c r="H100" s="26" t="n"/>
      <c r="I100" s="26" t="n"/>
      <c r="J100" s="26" t="n"/>
      <c r="K100" s="27" t="n"/>
      <c r="L100" s="27" t="n"/>
      <c r="M100" s="27" t="n"/>
      <c r="N100" s="27" t="n"/>
      <c r="O100" s="27" t="n"/>
      <c r="P100" s="26" t="n"/>
      <c r="Q100" s="26" t="n"/>
      <c r="R100" s="26" t="n"/>
      <c r="S100" s="26" t="n"/>
      <c r="T100" s="26" t="n"/>
      <c r="U100" s="26" t="n"/>
      <c r="V100" s="26" t="n"/>
      <c r="W100" s="26" t="n"/>
      <c r="X100" s="27" t="n"/>
      <c r="Y100" s="28">
        <f>IF(COUNTA(E100:J100,P100:W100)=0,"Not started",IF(COUNTA(E100:J100,P100:W100)&lt;14,"Incomplete",IF((AND(F100&lt;&gt;"",F100&amp;""&lt;&gt;"0",TRIM(K100)="")+AND(G100&lt;&gt;"",G100&amp;""&lt;&gt;"0",TRIM(L100)="")+AND(H100&lt;&gt;"",H100&amp;""&lt;&gt;"0",TRIM(M100)="")+AND(I100&lt;&gt;"",I100&amp;""&lt;&gt;"0",TRIM(N100)="")+AND(J100&lt;&gt;"",J100&amp;""&lt;&gt;"0",TRIM(O100)=""))&gt;0,"Add evidence","Complete")))</f>
        <v/>
      </c>
      <c r="Z100" s="24" t="inlineStr">
        <is>
          <t>4223</t>
        </is>
      </c>
      <c r="AA100" s="24" t="inlineStr">
        <is>
          <t>Telephone Switchboard Operators</t>
        </is>
      </c>
      <c r="AB100" s="24" t="inlineStr">
        <is>
          <t>422</t>
        </is>
      </c>
      <c r="AC100" s="24" t="inlineStr">
        <is>
          <t>Client Information Workers</t>
        </is>
      </c>
      <c r="AD100" s="24" t="n">
        <v>4</v>
      </c>
      <c r="AE100" s="24" t="inlineStr">
        <is>
          <t>Clerks/Clerical Support Workers</t>
        </is>
      </c>
      <c r="AF100" s="24" t="inlineStr">
        <is>
          <t>2</t>
        </is>
      </c>
      <c r="AG100" s="24" t="inlineStr">
        <is>
          <t>4222.30</t>
        </is>
      </c>
      <c r="AH100" s="24" t="n"/>
      <c r="AI100" s="24" t="n"/>
    </row>
    <row r="101" ht="85.19999999999999" customHeight="1">
      <c r="A101" s="24" t="n">
        <v>99</v>
      </c>
      <c r="B101" s="24" t="inlineStr">
        <is>
          <t>4312.0100</t>
        </is>
      </c>
      <c r="C101" s="24" t="inlineStr">
        <is>
          <t>Statistical Clerks</t>
        </is>
      </c>
      <c r="D101" s="25" t="inlineStr">
        <is>
          <t>Statistical Clerk tabulates data and computes statistics for use in statistical studies, using calculator and adding machine: Compiles statistics from source materials, such as production and sales records, quality control and test records, personnel records, timesheets, survey sheets, and questionnaires. Assembles and classifies statistics, following prescribed procedures. Computes statistical data according to formulas, using calculator. May compile and compute statistics, using computer. May verify authenticity of source material</t>
        </is>
      </c>
      <c r="E101" s="26" t="n"/>
      <c r="F101" s="26" t="n"/>
      <c r="G101" s="26" t="n"/>
      <c r="H101" s="26" t="n"/>
      <c r="I101" s="26" t="n"/>
      <c r="J101" s="26" t="n"/>
      <c r="K101" s="27" t="n"/>
      <c r="L101" s="27" t="n"/>
      <c r="M101" s="27" t="n"/>
      <c r="N101" s="27" t="n"/>
      <c r="O101" s="27" t="n"/>
      <c r="P101" s="26" t="n"/>
      <c r="Q101" s="26" t="n"/>
      <c r="R101" s="26" t="n"/>
      <c r="S101" s="26" t="n"/>
      <c r="T101" s="26" t="n"/>
      <c r="U101" s="26" t="n"/>
      <c r="V101" s="26" t="n"/>
      <c r="W101" s="26" t="n"/>
      <c r="X101" s="27" t="n"/>
      <c r="Y101" s="28">
        <f>IF(COUNTA(E101:J101,P101:W101)=0,"Not started",IF(COUNTA(E101:J101,P101:W101)&lt;14,"Incomplete",IF((AND(F101&lt;&gt;"",F101&amp;""&lt;&gt;"0",TRIM(K101)="")+AND(G101&lt;&gt;"",G101&amp;""&lt;&gt;"0",TRIM(L101)="")+AND(H101&lt;&gt;"",H101&amp;""&lt;&gt;"0",TRIM(M101)="")+AND(I101&lt;&gt;"",I101&amp;""&lt;&gt;"0",TRIM(N101)="")+AND(J101&lt;&gt;"",J101&amp;""&lt;&gt;"0",TRIM(O101)=""))&gt;0,"Add evidence","Complete")))</f>
        <v/>
      </c>
      <c r="Z101" s="24" t="inlineStr">
        <is>
          <t>4312</t>
        </is>
      </c>
      <c r="AA101" s="24" t="inlineStr">
        <is>
          <t>Statistical Finance and Insurance Clerks</t>
        </is>
      </c>
      <c r="AB101" s="24" t="inlineStr">
        <is>
          <t>431</t>
        </is>
      </c>
      <c r="AC101" s="24" t="inlineStr">
        <is>
          <t>Numerical Clerks</t>
        </is>
      </c>
      <c r="AD101" s="24" t="n">
        <v>4</v>
      </c>
      <c r="AE101" s="24" t="inlineStr">
        <is>
          <t>Clerks/Clerical Support Workers</t>
        </is>
      </c>
      <c r="AF101" s="24" t="inlineStr">
        <is>
          <t>2</t>
        </is>
      </c>
      <c r="AG101" s="24" t="inlineStr">
        <is>
          <t>4122.10</t>
        </is>
      </c>
      <c r="AH101" s="24" t="n"/>
      <c r="AI101" s="24" t="n"/>
    </row>
    <row r="102" ht="85.19999999999999" customHeight="1">
      <c r="A102" s="24" t="n">
        <v>100</v>
      </c>
      <c r="B102" s="24" t="inlineStr">
        <is>
          <t>4321.0103</t>
        </is>
      </c>
      <c r="C102" s="24" t="inlineStr">
        <is>
          <t>Inventory Manager</t>
        </is>
      </c>
      <c r="D102" s="25" t="inlineStr">
        <is>
          <t>Inventory Manager is the person in charge of maintaining the stock of all inventory available in the jewellery retail store. Inventory Manager is also called as ‘Inventory Controller’, or ‘Stock Manager’. The individual in the jewellery retailing store maintains record on all jewellery product including fresh incoming jewellery from factory, jewellery from customers for exchange sale, jewellery for repairs. The individual also places order for replenishment of jewellery products with vendor</t>
        </is>
      </c>
      <c r="E102" s="26" t="n"/>
      <c r="F102" s="26" t="n"/>
      <c r="G102" s="26" t="n"/>
      <c r="H102" s="26" t="n"/>
      <c r="I102" s="26" t="n"/>
      <c r="J102" s="26" t="n"/>
      <c r="K102" s="27" t="n"/>
      <c r="L102" s="27" t="n"/>
      <c r="M102" s="27" t="n"/>
      <c r="N102" s="27" t="n"/>
      <c r="O102" s="27" t="n"/>
      <c r="P102" s="26" t="n"/>
      <c r="Q102" s="26" t="n"/>
      <c r="R102" s="26" t="n"/>
      <c r="S102" s="26" t="n"/>
      <c r="T102" s="26" t="n"/>
      <c r="U102" s="26" t="n"/>
      <c r="V102" s="26" t="n"/>
      <c r="W102" s="26" t="n"/>
      <c r="X102" s="27" t="n"/>
      <c r="Y102" s="28">
        <f>IF(COUNTA(E102:J102,P102:W102)=0,"Not started",IF(COUNTA(E102:J102,P102:W102)&lt;14,"Incomplete",IF((AND(F102&lt;&gt;"",F102&amp;""&lt;&gt;"0",TRIM(K102)="")+AND(G102&lt;&gt;"",G102&amp;""&lt;&gt;"0",TRIM(L102)="")+AND(H102&lt;&gt;"",H102&amp;""&lt;&gt;"0",TRIM(M102)="")+AND(I102&lt;&gt;"",I102&amp;""&lt;&gt;"0",TRIM(N102)="")+AND(J102&lt;&gt;"",J102&amp;""&lt;&gt;"0",TRIM(O102)=""))&gt;0,"Add evidence","Complete")))</f>
        <v/>
      </c>
      <c r="Z102" s="24" t="inlineStr">
        <is>
          <t>4321</t>
        </is>
      </c>
      <c r="AA102" s="24" t="inlineStr">
        <is>
          <t>Stock Clerks</t>
        </is>
      </c>
      <c r="AB102" s="24" t="inlineStr">
        <is>
          <t>432</t>
        </is>
      </c>
      <c r="AC102" s="24" t="inlineStr">
        <is>
          <t>Material Recording and Transport Clerks</t>
        </is>
      </c>
      <c r="AD102" s="24" t="n">
        <v>4</v>
      </c>
      <c r="AE102" s="24" t="inlineStr">
        <is>
          <t>Clerks/Clerical Support Workers</t>
        </is>
      </c>
      <c r="AF102" s="24" t="inlineStr">
        <is>
          <t>2</t>
        </is>
      </c>
      <c r="AG102" s="24" t="n"/>
      <c r="AH102" s="24" t="inlineStr">
        <is>
          <t>G&amp;J/Q8402</t>
        </is>
      </c>
      <c r="AI102" s="24" t="n"/>
    </row>
    <row r="103" ht="32.4" customHeight="1">
      <c r="A103" s="24" t="n">
        <v>101</v>
      </c>
      <c r="B103" s="24" t="inlineStr">
        <is>
          <t>4321.0501</t>
        </is>
      </c>
      <c r="C103" s="24" t="inlineStr">
        <is>
          <t>Store Ops Assistant</t>
        </is>
      </c>
      <c r="D103" s="25" t="inlineStr">
        <is>
          <t>Store Ops Assistant: Individuals in this position receive, move, store and deliver products whilst working cordially within the team and retail organization.</t>
        </is>
      </c>
      <c r="E103" s="26" t="n"/>
      <c r="F103" s="26" t="n"/>
      <c r="G103" s="26" t="n"/>
      <c r="H103" s="26" t="n"/>
      <c r="I103" s="26" t="n"/>
      <c r="J103" s="26" t="n"/>
      <c r="K103" s="27" t="n"/>
      <c r="L103" s="27" t="n"/>
      <c r="M103" s="27" t="n"/>
      <c r="N103" s="27" t="n"/>
      <c r="O103" s="27" t="n"/>
      <c r="P103" s="26" t="n"/>
      <c r="Q103" s="26" t="n"/>
      <c r="R103" s="26" t="n"/>
      <c r="S103" s="26" t="n"/>
      <c r="T103" s="26" t="n"/>
      <c r="U103" s="26" t="n"/>
      <c r="V103" s="26" t="n"/>
      <c r="W103" s="26" t="n"/>
      <c r="X103" s="27" t="n"/>
      <c r="Y103" s="28">
        <f>IF(COUNTA(E103:J103,P103:W103)=0,"Not started",IF(COUNTA(E103:J103,P103:W103)&lt;14,"Incomplete",IF((AND(F103&lt;&gt;"",F103&amp;""&lt;&gt;"0",TRIM(K103)="")+AND(G103&lt;&gt;"",G103&amp;""&lt;&gt;"0",TRIM(L103)="")+AND(H103&lt;&gt;"",H103&amp;""&lt;&gt;"0",TRIM(M103)="")+AND(I103&lt;&gt;"",I103&amp;""&lt;&gt;"0",TRIM(N103)="")+AND(J103&lt;&gt;"",J103&amp;""&lt;&gt;"0",TRIM(O103)=""))&gt;0,"Add evidence","Complete")))</f>
        <v/>
      </c>
      <c r="Z103" s="24" t="inlineStr">
        <is>
          <t>4321</t>
        </is>
      </c>
      <c r="AA103" s="24" t="inlineStr">
        <is>
          <t>Stock Clerks</t>
        </is>
      </c>
      <c r="AB103" s="24" t="inlineStr">
        <is>
          <t>432</t>
        </is>
      </c>
      <c r="AC103" s="24" t="inlineStr">
        <is>
          <t>Material Recording and Transport Clerks</t>
        </is>
      </c>
      <c r="AD103" s="24" t="n">
        <v>4</v>
      </c>
      <c r="AE103" s="24" t="inlineStr">
        <is>
          <t>Clerks/Clerical Support Workers</t>
        </is>
      </c>
      <c r="AF103" s="24" t="inlineStr">
        <is>
          <t>2</t>
        </is>
      </c>
      <c r="AG103" s="24" t="n"/>
      <c r="AH103" s="24" t="inlineStr">
        <is>
          <t>RAS/Q0101</t>
        </is>
      </c>
      <c r="AI103" s="24" t="n"/>
    </row>
    <row r="104" ht="58.8" customHeight="1">
      <c r="A104" s="24" t="n">
        <v>102</v>
      </c>
      <c r="B104" s="24" t="inlineStr">
        <is>
          <t>5111.9900</t>
        </is>
      </c>
      <c r="C104" s="24" t="inlineStr">
        <is>
          <t>Travel Attendants and Travel Stewards, Other</t>
        </is>
      </c>
      <c r="D104" s="25" t="inlineStr">
        <is>
          <t>Flight Attendants and Travel Stewards, other include attendants on board of aircraft or ship who render personal services to ensure the comfort and safety of passengers, serve meals and beverages, or plan and co-ordinate housekeeping and social activities in the aircrafts and ships not elsewhere classified.</t>
        </is>
      </c>
      <c r="E104" s="26" t="n"/>
      <c r="F104" s="26" t="n"/>
      <c r="G104" s="26" t="n"/>
      <c r="H104" s="26" t="n"/>
      <c r="I104" s="26" t="n"/>
      <c r="J104" s="26" t="n"/>
      <c r="K104" s="27" t="n"/>
      <c r="L104" s="27" t="n"/>
      <c r="M104" s="27" t="n"/>
      <c r="N104" s="27" t="n"/>
      <c r="O104" s="27" t="n"/>
      <c r="P104" s="26" t="n"/>
      <c r="Q104" s="26" t="n"/>
      <c r="R104" s="26" t="n"/>
      <c r="S104" s="26" t="n"/>
      <c r="T104" s="26" t="n"/>
      <c r="U104" s="26" t="n"/>
      <c r="V104" s="26" t="n"/>
      <c r="W104" s="26" t="n"/>
      <c r="X104" s="27" t="n"/>
      <c r="Y104" s="28">
        <f>IF(COUNTA(E104:J104,P104:W104)=0,"Not started",IF(COUNTA(E104:J104,P104:W104)&lt;14,"Incomplete",IF((AND(F104&lt;&gt;"",F104&amp;""&lt;&gt;"0",TRIM(K104)="")+AND(G104&lt;&gt;"",G104&amp;""&lt;&gt;"0",TRIM(L104)="")+AND(H104&lt;&gt;"",H104&amp;""&lt;&gt;"0",TRIM(M104)="")+AND(I104&lt;&gt;"",I104&amp;""&lt;&gt;"0",TRIM(N104)="")+AND(J104&lt;&gt;"",J104&amp;""&lt;&gt;"0",TRIM(O104)=""))&gt;0,"Add evidence","Complete")))</f>
        <v/>
      </c>
      <c r="Z104" s="24" t="inlineStr">
        <is>
          <t>5111</t>
        </is>
      </c>
      <c r="AA104" s="24" t="inlineStr">
        <is>
          <t>Travel Attendants and Travel Stewards</t>
        </is>
      </c>
      <c r="AB104" s="24" t="inlineStr">
        <is>
          <t>511</t>
        </is>
      </c>
      <c r="AC104" s="24" t="inlineStr">
        <is>
          <t>Travel Attendants, Conductors and Guides</t>
        </is>
      </c>
      <c r="AD104" s="24" t="n">
        <v>5</v>
      </c>
      <c r="AE104" s="24" t="inlineStr">
        <is>
          <t>Service and Sales Workers</t>
        </is>
      </c>
      <c r="AF104" s="24" t="inlineStr">
        <is>
          <t>2</t>
        </is>
      </c>
      <c r="AG104" s="24" t="inlineStr">
        <is>
          <t>5111.90</t>
        </is>
      </c>
      <c r="AH104" s="24" t="n"/>
      <c r="AI104" s="24" t="n"/>
    </row>
    <row r="105" ht="98.39999999999999" customHeight="1">
      <c r="A105" s="24" t="n">
        <v>103</v>
      </c>
      <c r="B105" s="24" t="inlineStr">
        <is>
          <t>5151.0101</t>
        </is>
      </c>
      <c r="C105" s="24" t="inlineStr">
        <is>
          <t>House Keeper (Institutional)/Housekeeping Supervisor</t>
        </is>
      </c>
      <c r="D105" s="25" t="inlineStr">
        <is>
          <t>House Keeper (Institutional) supervises work of staff engaged in cleaning rooms, lounges and dining halls of hotel. Assigns duties to staff and visits periodically all portions of hotel to assure that areas are clean and tidy. Reports any defects in electrical and water systems. Arranges to have rooms and public places periodically white-washed or painted. Indents for fresh supply of linen, and discards worn out items and greets guests in their rooms and enquires about their comfort. Keeps custody of luggage left temporarily by residents. Supervises work of Lascars Porter (Hotel, Sweepers, Room Boys, Lift Boys and Linen Keeper).</t>
        </is>
      </c>
      <c r="E105" s="26" t="n"/>
      <c r="F105" s="26" t="n"/>
      <c r="G105" s="26" t="n"/>
      <c r="H105" s="26" t="n"/>
      <c r="I105" s="26" t="n"/>
      <c r="J105" s="26" t="n"/>
      <c r="K105" s="27" t="n"/>
      <c r="L105" s="27" t="n"/>
      <c r="M105" s="27" t="n"/>
      <c r="N105" s="27" t="n"/>
      <c r="O105" s="27" t="n"/>
      <c r="P105" s="26" t="n"/>
      <c r="Q105" s="26" t="n"/>
      <c r="R105" s="26" t="n"/>
      <c r="S105" s="26" t="n"/>
      <c r="T105" s="26" t="n"/>
      <c r="U105" s="26" t="n"/>
      <c r="V105" s="26" t="n"/>
      <c r="W105" s="26" t="n"/>
      <c r="X105" s="27" t="n"/>
      <c r="Y105" s="28">
        <f>IF(COUNTA(E105:J105,P105:W105)=0,"Not started",IF(COUNTA(E105:J105,P105:W105)&lt;14,"Incomplete",IF((AND(F105&lt;&gt;"",F105&amp;""&lt;&gt;"0",TRIM(K105)="")+AND(G105&lt;&gt;"",G105&amp;""&lt;&gt;"0",TRIM(L105)="")+AND(H105&lt;&gt;"",H105&amp;""&lt;&gt;"0",TRIM(M105)="")+AND(I105&lt;&gt;"",I105&amp;""&lt;&gt;"0",TRIM(N105)="")+AND(J105&lt;&gt;"",J105&amp;""&lt;&gt;"0",TRIM(O105)=""))&gt;0,"Add evidence","Complete")))</f>
        <v/>
      </c>
      <c r="Z105" s="24" t="inlineStr">
        <is>
          <t>5151</t>
        </is>
      </c>
      <c r="AA105" s="24" t="inlineStr">
        <is>
          <t>Cleaning and Housekeeping Supervisors in Offices, Hotels and Other Establishments</t>
        </is>
      </c>
      <c r="AB105" s="24" t="inlineStr">
        <is>
          <t>515</t>
        </is>
      </c>
      <c r="AC105" s="24" t="inlineStr">
        <is>
          <t>Building and Housekeeping Supervisors</t>
        </is>
      </c>
      <c r="AD105" s="24" t="n">
        <v>5</v>
      </c>
      <c r="AE105" s="24" t="inlineStr">
        <is>
          <t>Service and Sales Workers</t>
        </is>
      </c>
      <c r="AF105" s="24" t="inlineStr">
        <is>
          <t>2</t>
        </is>
      </c>
      <c r="AG105" s="24" t="inlineStr">
        <is>
          <t>5121.10</t>
        </is>
      </c>
      <c r="AH105" s="24" t="inlineStr">
        <is>
          <t>THC/Q 0201</t>
        </is>
      </c>
      <c r="AI105" s="24" t="n"/>
    </row>
    <row r="106" ht="72" customHeight="1">
      <c r="A106" s="24" t="n">
        <v>104</v>
      </c>
      <c r="B106" s="24" t="inlineStr">
        <is>
          <t>5151.0500</t>
        </is>
      </c>
      <c r="C106" s="24" t="inlineStr">
        <is>
          <t>Linen Keeper</t>
        </is>
      </c>
      <c r="D106" s="25" t="inlineStr">
        <is>
          <t>Linen Keeper supplies linen needs of rooms, lounges and dining halls of hotel. Maintains linen register indicating stock position of various types of linen. Issues clean linen (bedcovers, table-cloth, napkins, towels) to rooms and dining halls in place of dirty or soiled ones. Sends soiled linen to laundry, and collects washed and pressed articles. Sorts out linen that requires repair or replacement and recommends purchase of fresh linen. May mend or sew linen.</t>
        </is>
      </c>
      <c r="E106" s="26" t="n"/>
      <c r="F106" s="26" t="n"/>
      <c r="G106" s="26" t="n"/>
      <c r="H106" s="26" t="n"/>
      <c r="I106" s="26" t="n"/>
      <c r="J106" s="26" t="n"/>
      <c r="K106" s="27" t="n"/>
      <c r="L106" s="27" t="n"/>
      <c r="M106" s="27" t="n"/>
      <c r="N106" s="27" t="n"/>
      <c r="O106" s="27" t="n"/>
      <c r="P106" s="26" t="n"/>
      <c r="Q106" s="26" t="n"/>
      <c r="R106" s="26" t="n"/>
      <c r="S106" s="26" t="n"/>
      <c r="T106" s="26" t="n"/>
      <c r="U106" s="26" t="n"/>
      <c r="V106" s="26" t="n"/>
      <c r="W106" s="26" t="n"/>
      <c r="X106" s="27" t="n"/>
      <c r="Y106" s="28">
        <f>IF(COUNTA(E106:J106,P106:W106)=0,"Not started",IF(COUNTA(E106:J106,P106:W106)&lt;14,"Incomplete",IF((AND(F106&lt;&gt;"",F106&amp;""&lt;&gt;"0",TRIM(K106)="")+AND(G106&lt;&gt;"",G106&amp;""&lt;&gt;"0",TRIM(L106)="")+AND(H106&lt;&gt;"",H106&amp;""&lt;&gt;"0",TRIM(M106)="")+AND(I106&lt;&gt;"",I106&amp;""&lt;&gt;"0",TRIM(N106)="")+AND(J106&lt;&gt;"",J106&amp;""&lt;&gt;"0",TRIM(O106)=""))&gt;0,"Add evidence","Complete")))</f>
        <v/>
      </c>
      <c r="Z106" s="24" t="inlineStr">
        <is>
          <t>5151</t>
        </is>
      </c>
      <c r="AA106" s="24" t="inlineStr">
        <is>
          <t>Cleaning and Housekeeping Supervisors in Offices, Hotels and Other Establishments</t>
        </is>
      </c>
      <c r="AB106" s="24" t="inlineStr">
        <is>
          <t>515</t>
        </is>
      </c>
      <c r="AC106" s="24" t="inlineStr">
        <is>
          <t>Building and Housekeeping Supervisors</t>
        </is>
      </c>
      <c r="AD106" s="24" t="n">
        <v>5</v>
      </c>
      <c r="AE106" s="24" t="inlineStr">
        <is>
          <t>Service and Sales Workers</t>
        </is>
      </c>
      <c r="AF106" s="24" t="inlineStr">
        <is>
          <t>2</t>
        </is>
      </c>
      <c r="AG106" s="24" t="inlineStr">
        <is>
          <t>5121.50</t>
        </is>
      </c>
      <c r="AH106" s="24" t="n"/>
      <c r="AI106" s="24" t="n"/>
    </row>
    <row r="107" ht="98.39999999999999" customHeight="1">
      <c r="A107" s="24" t="n">
        <v>105</v>
      </c>
      <c r="B107" s="24" t="inlineStr">
        <is>
          <t>5211.0300</t>
        </is>
      </c>
      <c r="C107" s="24" t="inlineStr">
        <is>
          <t>Telemarketing Sales Person/Telemarketing Sales Operator</t>
        </is>
      </c>
      <c r="D107" s="25" t="inlineStr">
        <is>
          <t>Telemarketing Salesperson solicits business for an establishment or clients via the telephone or e-mail, advises clients and processes financial and other queries and procedures. Gives details of various goods or services and of the firm's terms of sale by contacting clients via telephone or email; identifies requirements, following up on deliveries and entering events into a computer system; dispatches tasks to other units, when relevant; invoices or handles payments, when necessary; sends letters, information sheets and other documents to clients; performs related tasks; supervises other workers</t>
        </is>
      </c>
      <c r="E107" s="26" t="n"/>
      <c r="F107" s="26" t="n"/>
      <c r="G107" s="26" t="n"/>
      <c r="H107" s="26" t="n"/>
      <c r="I107" s="26" t="n"/>
      <c r="J107" s="26" t="n"/>
      <c r="K107" s="27" t="n"/>
      <c r="L107" s="27" t="n"/>
      <c r="M107" s="27" t="n"/>
      <c r="N107" s="27" t="n"/>
      <c r="O107" s="27" t="n"/>
      <c r="P107" s="26" t="n"/>
      <c r="Q107" s="26" t="n"/>
      <c r="R107" s="26" t="n"/>
      <c r="S107" s="26" t="n"/>
      <c r="T107" s="26" t="n"/>
      <c r="U107" s="26" t="n"/>
      <c r="V107" s="26" t="n"/>
      <c r="W107" s="26" t="n"/>
      <c r="X107" s="27" t="n"/>
      <c r="Y107" s="28">
        <f>IF(COUNTA(E107:J107,P107:W107)=0,"Not started",IF(COUNTA(E107:J107,P107:W107)&lt;14,"Incomplete",IF((AND(F107&lt;&gt;"",F107&amp;""&lt;&gt;"0",TRIM(K107)="")+AND(G107&lt;&gt;"",G107&amp;""&lt;&gt;"0",TRIM(L107)="")+AND(H107&lt;&gt;"",H107&amp;""&lt;&gt;"0",TRIM(M107)="")+AND(I107&lt;&gt;"",I107&amp;""&lt;&gt;"0",TRIM(N107)="")+AND(J107&lt;&gt;"",J107&amp;""&lt;&gt;"0",TRIM(O107)=""))&gt;0,"Add evidence","Complete")))</f>
        <v/>
      </c>
      <c r="Z107" s="24" t="inlineStr">
        <is>
          <t>5211</t>
        </is>
      </c>
      <c r="AA107" s="24" t="inlineStr">
        <is>
          <t>Stall and Market Salespersons</t>
        </is>
      </c>
      <c r="AB107" s="24" t="inlineStr">
        <is>
          <t>521</t>
        </is>
      </c>
      <c r="AC107" s="24" t="inlineStr">
        <is>
          <t>Street and Market Salespersons</t>
        </is>
      </c>
      <c r="AD107" s="24" t="n">
        <v>5</v>
      </c>
      <c r="AE107" s="24" t="inlineStr">
        <is>
          <t>Service and Sales Workers</t>
        </is>
      </c>
      <c r="AF107" s="24" t="inlineStr">
        <is>
          <t>2</t>
        </is>
      </c>
      <c r="AG107" s="24" t="inlineStr">
        <is>
          <t>5230.30</t>
        </is>
      </c>
      <c r="AH107" s="24" t="n"/>
      <c r="AI107" s="24" t="n"/>
    </row>
    <row r="108" ht="45.59999999999999" customHeight="1">
      <c r="A108" s="24" t="n">
        <v>106</v>
      </c>
      <c r="B108" s="24" t="inlineStr">
        <is>
          <t>5223.0102</t>
        </is>
      </c>
      <c r="C108" s="24" t="inlineStr">
        <is>
          <t>Jewellery Retail Sales Associate (Basic)</t>
        </is>
      </c>
      <c r="D108" s="25" t="inlineStr">
        <is>
          <t>Jewellery Retail Sales Associate (Basic) engages with the customers, understands their buying requirements, explains store offerings, assists them in selecting jewellery and completes the sales transaction.</t>
        </is>
      </c>
      <c r="E108" s="26" t="n"/>
      <c r="F108" s="26" t="n"/>
      <c r="G108" s="26" t="n"/>
      <c r="H108" s="26" t="n"/>
      <c r="I108" s="26" t="n"/>
      <c r="J108" s="26" t="n"/>
      <c r="K108" s="27" t="n"/>
      <c r="L108" s="27" t="n"/>
      <c r="M108" s="27" t="n"/>
      <c r="N108" s="27" t="n"/>
      <c r="O108" s="27" t="n"/>
      <c r="P108" s="26" t="n"/>
      <c r="Q108" s="26" t="n"/>
      <c r="R108" s="26" t="n"/>
      <c r="S108" s="26" t="n"/>
      <c r="T108" s="26" t="n"/>
      <c r="U108" s="26" t="n"/>
      <c r="V108" s="26" t="n"/>
      <c r="W108" s="26" t="n"/>
      <c r="X108" s="27" t="n"/>
      <c r="Y108" s="28">
        <f>IF(COUNTA(E108:J108,P108:W108)=0,"Not started",IF(COUNTA(E108:J108,P108:W108)&lt;14,"Incomplete",IF((AND(F108&lt;&gt;"",F108&amp;""&lt;&gt;"0",TRIM(K108)="")+AND(G108&lt;&gt;"",G108&amp;""&lt;&gt;"0",TRIM(L108)="")+AND(H108&lt;&gt;"",H108&amp;""&lt;&gt;"0",TRIM(M108)="")+AND(I108&lt;&gt;"",I108&amp;""&lt;&gt;"0",TRIM(N108)="")+AND(J108&lt;&gt;"",J108&amp;""&lt;&gt;"0",TRIM(O108)=""))&gt;0,"Add evidence","Complete")))</f>
        <v/>
      </c>
      <c r="Z108" s="24" t="inlineStr">
        <is>
          <t>5223</t>
        </is>
      </c>
      <c r="AA108" s="24" t="inlineStr">
        <is>
          <t>Shop Sales Assistants</t>
        </is>
      </c>
      <c r="AB108" s="24" t="inlineStr">
        <is>
          <t>522</t>
        </is>
      </c>
      <c r="AC108" s="24" t="inlineStr">
        <is>
          <t>Shop Salespersons</t>
        </is>
      </c>
      <c r="AD108" s="24" t="n">
        <v>5</v>
      </c>
      <c r="AE108" s="24" t="inlineStr">
        <is>
          <t>Service and Sales Workers</t>
        </is>
      </c>
      <c r="AF108" s="24" t="inlineStr">
        <is>
          <t>2</t>
        </is>
      </c>
      <c r="AG108" s="24" t="n"/>
      <c r="AH108" s="24" t="inlineStr">
        <is>
          <t>G&amp;J/Q8302</t>
        </is>
      </c>
      <c r="AI108" s="24" t="n"/>
    </row>
    <row r="109" ht="72" customHeight="1">
      <c r="A109" s="24" t="n">
        <v>107</v>
      </c>
      <c r="B109" s="24" t="inlineStr">
        <is>
          <t>5242.0102</t>
        </is>
      </c>
      <c r="C109" s="24" t="inlineStr">
        <is>
          <t>Sales Associate</t>
        </is>
      </c>
      <c r="D109" s="25" t="inlineStr">
        <is>
          <t>Sales Associate: Individuals in this position interact with customers to understand and service customer needs with specialization leading to maximization of business in a retail environment. Individuals in this position interact with customers by giving specialized service and product demonstrations to maximise business in a retail environment whilst striving for continuous improvements in levels of services rendered.</t>
        </is>
      </c>
      <c r="E109" s="26" t="n"/>
      <c r="F109" s="26" t="n"/>
      <c r="G109" s="26" t="n"/>
      <c r="H109" s="26" t="n"/>
      <c r="I109" s="26" t="n"/>
      <c r="J109" s="26" t="n"/>
      <c r="K109" s="27" t="n"/>
      <c r="L109" s="27" t="n"/>
      <c r="M109" s="27" t="n"/>
      <c r="N109" s="27" t="n"/>
      <c r="O109" s="27" t="n"/>
      <c r="P109" s="26" t="n"/>
      <c r="Q109" s="26" t="n"/>
      <c r="R109" s="26" t="n"/>
      <c r="S109" s="26" t="n"/>
      <c r="T109" s="26" t="n"/>
      <c r="U109" s="26" t="n"/>
      <c r="V109" s="26" t="n"/>
      <c r="W109" s="26" t="n"/>
      <c r="X109" s="27" t="n"/>
      <c r="Y109" s="28">
        <f>IF(COUNTA(E109:J109,P109:W109)=0,"Not started",IF(COUNTA(E109:J109,P109:W109)&lt;14,"Incomplete",IF((AND(F109&lt;&gt;"",F109&amp;""&lt;&gt;"0",TRIM(K109)="")+AND(G109&lt;&gt;"",G109&amp;""&lt;&gt;"0",TRIM(L109)="")+AND(H109&lt;&gt;"",H109&amp;""&lt;&gt;"0",TRIM(M109)="")+AND(I109&lt;&gt;"",I109&amp;""&lt;&gt;"0",TRIM(N109)="")+AND(J109&lt;&gt;"",J109&amp;""&lt;&gt;"0",TRIM(O109)=""))&gt;0,"Add evidence","Complete")))</f>
        <v/>
      </c>
      <c r="Z109" s="24" t="inlineStr">
        <is>
          <t>5242</t>
        </is>
      </c>
      <c r="AA109" s="24" t="inlineStr">
        <is>
          <t>Sales Demonstrators</t>
        </is>
      </c>
      <c r="AB109" s="24" t="inlineStr">
        <is>
          <t>524</t>
        </is>
      </c>
      <c r="AC109" s="24" t="inlineStr">
        <is>
          <t>Other Sales Workers</t>
        </is>
      </c>
      <c r="AD109" s="24" t="n">
        <v>5</v>
      </c>
      <c r="AE109" s="24" t="inlineStr">
        <is>
          <t>Service and Sales Workers</t>
        </is>
      </c>
      <c r="AF109" s="24" t="inlineStr">
        <is>
          <t>2</t>
        </is>
      </c>
      <c r="AG109" s="24" t="n"/>
      <c r="AH109" s="24" t="inlineStr">
        <is>
          <t>RAS/Q0104</t>
        </is>
      </c>
      <c r="AI109" s="24" t="n"/>
    </row>
    <row r="110" ht="45.59999999999999" customHeight="1">
      <c r="A110" s="24" t="n">
        <v>108</v>
      </c>
      <c r="B110" s="24" t="inlineStr">
        <is>
          <t>5242.0401</t>
        </is>
      </c>
      <c r="C110" s="24" t="inlineStr">
        <is>
          <t>In-Store Promoter</t>
        </is>
      </c>
      <c r="D110" s="25" t="inlineStr">
        <is>
          <t>In-Store Promoter demonstrates and highlights the product FAB (Features, Advantages and Benefits) to walk-in customers; offers them the opportunity to touch and feel the product (s) on display; respond to queries on product and services.</t>
        </is>
      </c>
      <c r="E110" s="26" t="n"/>
      <c r="F110" s="26" t="n"/>
      <c r="G110" s="26" t="n"/>
      <c r="H110" s="26" t="n"/>
      <c r="I110" s="26" t="n"/>
      <c r="J110" s="26" t="n"/>
      <c r="K110" s="27" t="n"/>
      <c r="L110" s="27" t="n"/>
      <c r="M110" s="27" t="n"/>
      <c r="N110" s="27" t="n"/>
      <c r="O110" s="27" t="n"/>
      <c r="P110" s="26" t="n"/>
      <c r="Q110" s="26" t="n"/>
      <c r="R110" s="26" t="n"/>
      <c r="S110" s="26" t="n"/>
      <c r="T110" s="26" t="n"/>
      <c r="U110" s="26" t="n"/>
      <c r="V110" s="26" t="n"/>
      <c r="W110" s="26" t="n"/>
      <c r="X110" s="27" t="n"/>
      <c r="Y110" s="28">
        <f>IF(COUNTA(E110:J110,P110:W110)=0,"Not started",IF(COUNTA(E110:J110,P110:W110)&lt;14,"Incomplete",IF((AND(F110&lt;&gt;"",F110&amp;""&lt;&gt;"0",TRIM(K110)="")+AND(G110&lt;&gt;"",G110&amp;""&lt;&gt;"0",TRIM(L110)="")+AND(H110&lt;&gt;"",H110&amp;""&lt;&gt;"0",TRIM(M110)="")+AND(I110&lt;&gt;"",I110&amp;""&lt;&gt;"0",TRIM(N110)="")+AND(J110&lt;&gt;"",J110&amp;""&lt;&gt;"0",TRIM(O110)=""))&gt;0,"Add evidence","Complete")))</f>
        <v/>
      </c>
      <c r="Z110" s="24" t="inlineStr">
        <is>
          <t>5242</t>
        </is>
      </c>
      <c r="AA110" s="24" t="inlineStr">
        <is>
          <t>Sales Demonstrators</t>
        </is>
      </c>
      <c r="AB110" s="24" t="inlineStr">
        <is>
          <t>524</t>
        </is>
      </c>
      <c r="AC110" s="24" t="inlineStr">
        <is>
          <t>Other Sales Workers</t>
        </is>
      </c>
      <c r="AD110" s="24" t="n">
        <v>5</v>
      </c>
      <c r="AE110" s="24" t="inlineStr">
        <is>
          <t>Service and Sales Workers</t>
        </is>
      </c>
      <c r="AF110" s="24" t="inlineStr">
        <is>
          <t>2</t>
        </is>
      </c>
      <c r="AG110" s="24" t="n"/>
      <c r="AH110" s="24" t="inlineStr">
        <is>
          <t>TEL/Q2101</t>
        </is>
      </c>
      <c r="AI110" s="24" t="n"/>
    </row>
    <row r="111" ht="58.8" customHeight="1">
      <c r="A111" s="24" t="n">
        <v>109</v>
      </c>
      <c r="B111" s="24" t="inlineStr">
        <is>
          <t>5242.0502</t>
        </is>
      </c>
      <c r="C111" s="24" t="inlineStr">
        <is>
          <t>Associate Operations Engineer</t>
        </is>
      </c>
      <c r="D111" s="25" t="inlineStr">
        <is>
          <t>Associate Operations Engineer in the ITITeS Industry is also known a Systems Engineer. Individuals in this role assist customers on all product/service related queries. They receive calls and log in complaints from customers as per specified standards. Individuals in this role also provide technical and developer support for products/solutions via email, chat etc.</t>
        </is>
      </c>
      <c r="E111" s="26" t="n"/>
      <c r="F111" s="26" t="n"/>
      <c r="G111" s="26" t="n"/>
      <c r="H111" s="26" t="n"/>
      <c r="I111" s="26" t="n"/>
      <c r="J111" s="26" t="n"/>
      <c r="K111" s="27" t="n"/>
      <c r="L111" s="27" t="n"/>
      <c r="M111" s="27" t="n"/>
      <c r="N111" s="27" t="n"/>
      <c r="O111" s="27" t="n"/>
      <c r="P111" s="26" t="n"/>
      <c r="Q111" s="26" t="n"/>
      <c r="R111" s="26" t="n"/>
      <c r="S111" s="26" t="n"/>
      <c r="T111" s="26" t="n"/>
      <c r="U111" s="26" t="n"/>
      <c r="V111" s="26" t="n"/>
      <c r="W111" s="26" t="n"/>
      <c r="X111" s="27" t="n"/>
      <c r="Y111" s="28">
        <f>IF(COUNTA(E111:J111,P111:W111)=0,"Not started",IF(COUNTA(E111:J111,P111:W111)&lt;14,"Incomplete",IF((AND(F111&lt;&gt;"",F111&amp;""&lt;&gt;"0",TRIM(K111)="")+AND(G111&lt;&gt;"",G111&amp;""&lt;&gt;"0",TRIM(L111)="")+AND(H111&lt;&gt;"",H111&amp;""&lt;&gt;"0",TRIM(M111)="")+AND(I111&lt;&gt;"",I111&amp;""&lt;&gt;"0",TRIM(N111)="")+AND(J111&lt;&gt;"",J111&amp;""&lt;&gt;"0",TRIM(O111)=""))&gt;0,"Add evidence","Complete")))</f>
        <v/>
      </c>
      <c r="Z111" s="24" t="inlineStr">
        <is>
          <t>5242</t>
        </is>
      </c>
      <c r="AA111" s="24" t="inlineStr">
        <is>
          <t>Sales Demonstrators</t>
        </is>
      </c>
      <c r="AB111" s="24" t="inlineStr">
        <is>
          <t>524</t>
        </is>
      </c>
      <c r="AC111" s="24" t="inlineStr">
        <is>
          <t>Other Sales Workers</t>
        </is>
      </c>
      <c r="AD111" s="24" t="n">
        <v>5</v>
      </c>
      <c r="AE111" s="24" t="inlineStr">
        <is>
          <t>Service and Sales Workers</t>
        </is>
      </c>
      <c r="AF111" s="24" t="inlineStr">
        <is>
          <t>2</t>
        </is>
      </c>
      <c r="AG111" s="24" t="n"/>
      <c r="AH111" s="24" t="inlineStr">
        <is>
          <t>SSC/Q5101</t>
        </is>
      </c>
      <c r="AI111" s="24" t="n"/>
    </row>
    <row r="112" ht="85.19999999999999" customHeight="1">
      <c r="A112" s="24" t="n">
        <v>110</v>
      </c>
      <c r="B112" s="24" t="inlineStr">
        <is>
          <t>5244.0301</t>
        </is>
      </c>
      <c r="C112" s="24" t="inlineStr">
        <is>
          <t>Customer Care Executive</t>
        </is>
      </c>
      <c r="D112" s="25" t="inlineStr">
        <is>
          <t>Remote Helpdesk Technician is also called ‘Customer Service Executive’, the Customer Care Executive is the first point of contact in providing after-sales support services and assists customers in registering complaints. The individual at work is responsible for receiving, understanding and responding to customer queries through telephone or email. The individual records the complaints for follow up, co-ordinates with other departments to resolve problems and closes non-technical issues raised by customers on the call itself.</t>
        </is>
      </c>
      <c r="E112" s="26" t="n"/>
      <c r="F112" s="26" t="n"/>
      <c r="G112" s="26" t="n"/>
      <c r="H112" s="26" t="n"/>
      <c r="I112" s="26" t="n"/>
      <c r="J112" s="26" t="n"/>
      <c r="K112" s="27" t="n"/>
      <c r="L112" s="27" t="n"/>
      <c r="M112" s="27" t="n"/>
      <c r="N112" s="27" t="n"/>
      <c r="O112" s="27" t="n"/>
      <c r="P112" s="26" t="n"/>
      <c r="Q112" s="26" t="n"/>
      <c r="R112" s="26" t="n"/>
      <c r="S112" s="26" t="n"/>
      <c r="T112" s="26" t="n"/>
      <c r="U112" s="26" t="n"/>
      <c r="V112" s="26" t="n"/>
      <c r="W112" s="26" t="n"/>
      <c r="X112" s="27" t="n"/>
      <c r="Y112" s="28">
        <f>IF(COUNTA(E112:J112,P112:W112)=0,"Not started",IF(COUNTA(E112:J112,P112:W112)&lt;14,"Incomplete",IF((AND(F112&lt;&gt;"",F112&amp;""&lt;&gt;"0",TRIM(K112)="")+AND(G112&lt;&gt;"",G112&amp;""&lt;&gt;"0",TRIM(L112)="")+AND(H112&lt;&gt;"",H112&amp;""&lt;&gt;"0",TRIM(M112)="")+AND(I112&lt;&gt;"",I112&amp;""&lt;&gt;"0",TRIM(N112)="")+AND(J112&lt;&gt;"",J112&amp;""&lt;&gt;"0",TRIM(O112)=""))&gt;0,"Add evidence","Complete")))</f>
        <v/>
      </c>
      <c r="Z112" s="24" t="inlineStr">
        <is>
          <t>5244</t>
        </is>
      </c>
      <c r="AA112" s="24" t="inlineStr">
        <is>
          <t>Contact Centre Salespersons</t>
        </is>
      </c>
      <c r="AB112" s="24" t="inlineStr">
        <is>
          <t>524</t>
        </is>
      </c>
      <c r="AC112" s="24" t="inlineStr">
        <is>
          <t>Other Sales Workers</t>
        </is>
      </c>
      <c r="AD112" s="24" t="n">
        <v>5</v>
      </c>
      <c r="AE112" s="24" t="inlineStr">
        <is>
          <t>Service and Sales Workers</t>
        </is>
      </c>
      <c r="AF112" s="24" t="inlineStr">
        <is>
          <t>2</t>
        </is>
      </c>
      <c r="AG112" s="24" t="n"/>
      <c r="AH112" s="24" t="inlineStr">
        <is>
          <t>ELE/Q4603</t>
        </is>
      </c>
      <c r="AI112" s="24" t="n"/>
    </row>
    <row r="113" ht="72" customHeight="1">
      <c r="A113" s="24" t="n">
        <v>111</v>
      </c>
      <c r="B113" s="24" t="inlineStr">
        <is>
          <t>6116.0112</t>
        </is>
      </c>
      <c r="C113" s="24" t="inlineStr">
        <is>
          <t>Community Service Provider</t>
        </is>
      </c>
      <c r="D113" s="25" t="inlineStr">
        <is>
          <t>Community Service Provider (CSP)/VLE is an individual selected from within a village/area to act as a touch point between the business and the customer to run the CSC. A VLE educates villagers on 26 Types OF G2C services and scores of other services related to daily lives of rural population. The VLE then sells products and services offered by the corporate and the Government through CSC.</t>
        </is>
      </c>
      <c r="E113" s="26" t="n"/>
      <c r="F113" s="26" t="n"/>
      <c r="G113" s="26" t="n"/>
      <c r="H113" s="26" t="n"/>
      <c r="I113" s="26" t="n"/>
      <c r="J113" s="26" t="n"/>
      <c r="K113" s="27" t="n"/>
      <c r="L113" s="27" t="n"/>
      <c r="M113" s="27" t="n"/>
      <c r="N113" s="27" t="n"/>
      <c r="O113" s="27" t="n"/>
      <c r="P113" s="26" t="n"/>
      <c r="Q113" s="26" t="n"/>
      <c r="R113" s="26" t="n"/>
      <c r="S113" s="26" t="n"/>
      <c r="T113" s="26" t="n"/>
      <c r="U113" s="26" t="n"/>
      <c r="V113" s="26" t="n"/>
      <c r="W113" s="26" t="n"/>
      <c r="X113" s="27" t="n"/>
      <c r="Y113" s="28">
        <f>IF(COUNTA(E113:J113,P113:W113)=0,"Not started",IF(COUNTA(E113:J113,P113:W113)&lt;14,"Incomplete",IF((AND(F113&lt;&gt;"",F113&amp;""&lt;&gt;"0",TRIM(K113)="")+AND(G113&lt;&gt;"",G113&amp;""&lt;&gt;"0",TRIM(L113)="")+AND(H113&lt;&gt;"",H113&amp;""&lt;&gt;"0",TRIM(M113)="")+AND(I113&lt;&gt;"",I113&amp;""&lt;&gt;"0",TRIM(N113)="")+AND(J113&lt;&gt;"",J113&amp;""&lt;&gt;"0",TRIM(O113)=""))&gt;0,"Add evidence","Complete")))</f>
        <v/>
      </c>
      <c r="Z113" s="24" t="inlineStr">
        <is>
          <t>6116</t>
        </is>
      </c>
      <c r="AA113" s="24" t="inlineStr">
        <is>
          <t>Agriculture Information Management</t>
        </is>
      </c>
      <c r="AB113" s="24" t="inlineStr">
        <is>
          <t>611</t>
        </is>
      </c>
      <c r="AC113" s="24" t="inlineStr">
        <is>
          <t>Market Gardeners &amp; Crop Growers</t>
        </is>
      </c>
      <c r="AD113" s="24" t="n">
        <v>6</v>
      </c>
      <c r="AE113" s="24" t="inlineStr">
        <is>
          <t>Skilled Agricultural, Forestry and Fishery Workers</t>
        </is>
      </c>
      <c r="AF113" s="24" t="inlineStr">
        <is>
          <t>2</t>
        </is>
      </c>
      <c r="AG113" s="24" t="n"/>
      <c r="AH113" s="24" t="inlineStr">
        <is>
          <t>AGR/Q7603</t>
        </is>
      </c>
      <c r="AI113" s="24" t="inlineStr">
        <is>
          <t>3</t>
        </is>
      </c>
    </row>
    <row r="114" ht="58.8" customHeight="1">
      <c r="A114" s="24" t="n">
        <v>112</v>
      </c>
      <c r="B114" s="24" t="inlineStr">
        <is>
          <t>6121.1400</t>
        </is>
      </c>
      <c r="C114" s="24" t="inlineStr">
        <is>
          <t>Grass Cutter</t>
        </is>
      </c>
      <c r="D114" s="25" t="inlineStr">
        <is>
          <t>Grass Cutter cuts grass from fields and gardens with sickle or other grass cutting implements, for feeding cattle or other animals. Mixes different varieties of grass to make feed palatable to animals. Carries grass to stable or to market for sale. Keeps tools sharp. May feed grass to animals. May cut hay and other fodder into small pieces with hand or mechanically operated chopper.</t>
        </is>
      </c>
      <c r="E114" s="26" t="n"/>
      <c r="F114" s="26" t="n"/>
      <c r="G114" s="26" t="n"/>
      <c r="H114" s="26" t="n"/>
      <c r="I114" s="26" t="n"/>
      <c r="J114" s="26" t="n"/>
      <c r="K114" s="27" t="n"/>
      <c r="L114" s="27" t="n"/>
      <c r="M114" s="27" t="n"/>
      <c r="N114" s="27" t="n"/>
      <c r="O114" s="27" t="n"/>
      <c r="P114" s="26" t="n"/>
      <c r="Q114" s="26" t="n"/>
      <c r="R114" s="26" t="n"/>
      <c r="S114" s="26" t="n"/>
      <c r="T114" s="26" t="n"/>
      <c r="U114" s="26" t="n"/>
      <c r="V114" s="26" t="n"/>
      <c r="W114" s="26" t="n"/>
      <c r="X114" s="27" t="n"/>
      <c r="Y114" s="28">
        <f>IF(COUNTA(E114:J114,P114:W114)=0,"Not started",IF(COUNTA(E114:J114,P114:W114)&lt;14,"Incomplete",IF((AND(F114&lt;&gt;"",F114&amp;""&lt;&gt;"0",TRIM(K114)="")+AND(G114&lt;&gt;"",G114&amp;""&lt;&gt;"0",TRIM(L114)="")+AND(H114&lt;&gt;"",H114&amp;""&lt;&gt;"0",TRIM(M114)="")+AND(I114&lt;&gt;"",I114&amp;""&lt;&gt;"0",TRIM(N114)="")+AND(J114&lt;&gt;"",J114&amp;""&lt;&gt;"0",TRIM(O114)=""))&gt;0,"Add evidence","Complete")))</f>
        <v/>
      </c>
      <c r="Z114" s="24" t="inlineStr">
        <is>
          <t>6121</t>
        </is>
      </c>
      <c r="AA114" s="24" t="inlineStr">
        <is>
          <t>Livestock and Dairy Producers</t>
        </is>
      </c>
      <c r="AB114" s="24" t="inlineStr">
        <is>
          <t>612</t>
        </is>
      </c>
      <c r="AC114" s="24" t="inlineStr">
        <is>
          <t>Animal Producers</t>
        </is>
      </c>
      <c r="AD114" s="24" t="n">
        <v>6</v>
      </c>
      <c r="AE114" s="24" t="inlineStr">
        <is>
          <t>Skilled Agricultural, Forestry and Fishery Workers</t>
        </is>
      </c>
      <c r="AF114" s="24" t="inlineStr">
        <is>
          <t>2</t>
        </is>
      </c>
      <c r="AG114" s="24" t="inlineStr">
        <is>
          <t>6121.75</t>
        </is>
      </c>
      <c r="AH114" s="24" t="n"/>
      <c r="AI114" s="24" t="n"/>
    </row>
    <row r="115" ht="58.8" customHeight="1">
      <c r="A115" s="24" t="n">
        <v>113</v>
      </c>
      <c r="B115" s="24" t="inlineStr">
        <is>
          <t>6129.0200</t>
        </is>
      </c>
      <c r="C115" s="24" t="inlineStr">
        <is>
          <t>Mixed Animal Producers</t>
        </is>
      </c>
      <c r="D115" s="25" t="inlineStr">
        <is>
          <t>Mixed animal producers plan and carry out the necessary operations to breed, raise and tend different types of livestock, such as cattle, sheep, pigs, goats and horses, as well as poultry, and to produce apiarian and sericultural products, for sale or delivery on a regular basis to wholesale buyers, marketing organizations or at markets.</t>
        </is>
      </c>
      <c r="E115" s="26" t="n"/>
      <c r="F115" s="26" t="n"/>
      <c r="G115" s="26" t="n"/>
      <c r="H115" s="26" t="n"/>
      <c r="I115" s="26" t="n"/>
      <c r="J115" s="26" t="n"/>
      <c r="K115" s="27" t="n"/>
      <c r="L115" s="27" t="n"/>
      <c r="M115" s="27" t="n"/>
      <c r="N115" s="27" t="n"/>
      <c r="O115" s="27" t="n"/>
      <c r="P115" s="26" t="n"/>
      <c r="Q115" s="26" t="n"/>
      <c r="R115" s="26" t="n"/>
      <c r="S115" s="26" t="n"/>
      <c r="T115" s="26" t="n"/>
      <c r="U115" s="26" t="n"/>
      <c r="V115" s="26" t="n"/>
      <c r="W115" s="26" t="n"/>
      <c r="X115" s="27" t="n"/>
      <c r="Y115" s="28">
        <f>IF(COUNTA(E115:J115,P115:W115)=0,"Not started",IF(COUNTA(E115:J115,P115:W115)&lt;14,"Incomplete",IF((AND(F115&lt;&gt;"",F115&amp;""&lt;&gt;"0",TRIM(K115)="")+AND(G115&lt;&gt;"",G115&amp;""&lt;&gt;"0",TRIM(L115)="")+AND(H115&lt;&gt;"",H115&amp;""&lt;&gt;"0",TRIM(M115)="")+AND(I115&lt;&gt;"",I115&amp;""&lt;&gt;"0",TRIM(N115)="")+AND(J115&lt;&gt;"",J115&amp;""&lt;&gt;"0",TRIM(O115)=""))&gt;0,"Add evidence","Complete")))</f>
        <v/>
      </c>
      <c r="Z115" s="24" t="inlineStr">
        <is>
          <t>6129</t>
        </is>
      </c>
      <c r="AA115" s="24" t="inlineStr">
        <is>
          <t>Animal Producers Not Elsewhere Classified</t>
        </is>
      </c>
      <c r="AB115" s="24" t="inlineStr">
        <is>
          <t>612</t>
        </is>
      </c>
      <c r="AC115" s="24" t="inlineStr">
        <is>
          <t>Animal Producers</t>
        </is>
      </c>
      <c r="AD115" s="24" t="n">
        <v>6</v>
      </c>
      <c r="AE115" s="24" t="inlineStr">
        <is>
          <t>Skilled Agricultural, Forestry and Fishery Workers</t>
        </is>
      </c>
      <c r="AF115" s="24" t="inlineStr">
        <is>
          <t>2</t>
        </is>
      </c>
      <c r="AG115" s="24" t="n"/>
      <c r="AH115" s="24" t="n"/>
      <c r="AI115" s="24" t="n"/>
    </row>
    <row r="116" ht="45.59999999999999" customHeight="1">
      <c r="A116" s="24" t="n">
        <v>114</v>
      </c>
      <c r="B116" s="24" t="inlineStr">
        <is>
          <t>6130.0202</t>
        </is>
      </c>
      <c r="C116" s="24" t="inlineStr">
        <is>
          <t>Seed Processing Worker</t>
        </is>
      </c>
      <c r="D116" s="25" t="inlineStr">
        <is>
          <t>Seed Processing Worker cleans seeds of extraneous and undesirable materials, takes samples for testing, dries seeds to optimum moisture levels, treats, packages and stores them in appropriate manner for distribution</t>
        </is>
      </c>
      <c r="E116" s="26" t="n"/>
      <c r="F116" s="26" t="n"/>
      <c r="G116" s="26" t="n"/>
      <c r="H116" s="26" t="n"/>
      <c r="I116" s="26" t="n"/>
      <c r="J116" s="26" t="n"/>
      <c r="K116" s="27" t="n"/>
      <c r="L116" s="27" t="n"/>
      <c r="M116" s="27" t="n"/>
      <c r="N116" s="27" t="n"/>
      <c r="O116" s="27" t="n"/>
      <c r="P116" s="26" t="n"/>
      <c r="Q116" s="26" t="n"/>
      <c r="R116" s="26" t="n"/>
      <c r="S116" s="26" t="n"/>
      <c r="T116" s="26" t="n"/>
      <c r="U116" s="26" t="n"/>
      <c r="V116" s="26" t="n"/>
      <c r="W116" s="26" t="n"/>
      <c r="X116" s="27" t="n"/>
      <c r="Y116" s="28">
        <f>IF(COUNTA(E116:J116,P116:W116)=0,"Not started",IF(COUNTA(E116:J116,P116:W116)&lt;14,"Incomplete",IF((AND(F116&lt;&gt;"",F116&amp;""&lt;&gt;"0",TRIM(K116)="")+AND(G116&lt;&gt;"",G116&amp;""&lt;&gt;"0",TRIM(L116)="")+AND(H116&lt;&gt;"",H116&amp;""&lt;&gt;"0",TRIM(M116)="")+AND(I116&lt;&gt;"",I116&amp;""&lt;&gt;"0",TRIM(N116)="")+AND(J116&lt;&gt;"",J116&amp;""&lt;&gt;"0",TRIM(O116)=""))&gt;0,"Add evidence","Complete")))</f>
        <v/>
      </c>
      <c r="Z116" s="24" t="inlineStr">
        <is>
          <t>6130</t>
        </is>
      </c>
      <c r="AA116" s="24" t="inlineStr">
        <is>
          <t>Mixed Crop and Animal Workers</t>
        </is>
      </c>
      <c r="AB116" s="24" t="inlineStr">
        <is>
          <t>613</t>
        </is>
      </c>
      <c r="AC116" s="24" t="inlineStr">
        <is>
          <t>Mixed Crop and Animal Workers</t>
        </is>
      </c>
      <c r="AD116" s="24" t="n">
        <v>6</v>
      </c>
      <c r="AE116" s="24" t="inlineStr">
        <is>
          <t>Skilled Agricultural, Forestry and Fishery Workers</t>
        </is>
      </c>
      <c r="AF116" s="24" t="inlineStr">
        <is>
          <t>2</t>
        </is>
      </c>
      <c r="AG116" s="24" t="n"/>
      <c r="AH116" s="24" t="inlineStr">
        <is>
          <t>AGR/Q7102</t>
        </is>
      </c>
      <c r="AI116" s="24" t="inlineStr">
        <is>
          <t>3</t>
        </is>
      </c>
    </row>
    <row r="117" ht="177.6" customHeight="1">
      <c r="A117" s="24" t="n">
        <v>115</v>
      </c>
      <c r="B117" s="24" t="inlineStr">
        <is>
          <t>6224.9900</t>
        </is>
      </c>
      <c r="C117" s="24" t="inlineStr">
        <is>
          <t>Hunters and Trappers, Other</t>
        </is>
      </c>
      <c r="D117" s="25" t="inlineStr">
        <is>
          <t>Fishermen, Hunters, Trappers and Related Workers, other perform varieties of routine and low-skilled tasks in cutting and washing fish, boiling fish liver, preparing fish manure, etc. and are designated: Fish Cutter cuts open fish using knives, saws etc. for fish curing. Removes fins, head. Large bones etc. of fish by cutting them away with knife, saw etc. Cuts fish with hand knife to suitable sizes for curing. Fish Cutter and Washer removes fish gut and liver and washes fish for curing. Cuts with knife along abdomen. Removes liver, viscera, gills and gut of fish. Washes fish in water to remove blood and impurities. Fish Liver Boiler boils shark liver in water to collect shark liver oil. Collects liver from sharks. Cuts liver to small bits and washes them in clean water. Puts parts of liver in boiling water. Skims off oil floating in boiling water. Collects oil in containers and sends it for refining. Fish Manure Maker prepares fish manure by dumping fish in compost pits and removing them after decomposition. Digs pits of different sizes, dumps fish into pit and closes it with earth. Allows fish to decompose. Opens it after specified period and removes fish manure from pit.</t>
        </is>
      </c>
      <c r="E117" s="26" t="n"/>
      <c r="F117" s="26" t="n"/>
      <c r="G117" s="26" t="n"/>
      <c r="H117" s="26" t="n"/>
      <c r="I117" s="26" t="n"/>
      <c r="J117" s="26" t="n"/>
      <c r="K117" s="27" t="n"/>
      <c r="L117" s="27" t="n"/>
      <c r="M117" s="27" t="n"/>
      <c r="N117" s="27" t="n"/>
      <c r="O117" s="27" t="n"/>
      <c r="P117" s="26" t="n"/>
      <c r="Q117" s="26" t="n"/>
      <c r="R117" s="26" t="n"/>
      <c r="S117" s="26" t="n"/>
      <c r="T117" s="26" t="n"/>
      <c r="U117" s="26" t="n"/>
      <c r="V117" s="26" t="n"/>
      <c r="W117" s="26" t="n"/>
      <c r="X117" s="27" t="n"/>
      <c r="Y117" s="28">
        <f>IF(COUNTA(E117:J117,P117:W117)=0,"Not started",IF(COUNTA(E117:J117,P117:W117)&lt;14,"Incomplete",IF((AND(F117&lt;&gt;"",F117&amp;""&lt;&gt;"0",TRIM(K117)="")+AND(G117&lt;&gt;"",G117&amp;""&lt;&gt;"0",TRIM(L117)="")+AND(H117&lt;&gt;"",H117&amp;""&lt;&gt;"0",TRIM(M117)="")+AND(I117&lt;&gt;"",I117&amp;""&lt;&gt;"0",TRIM(N117)="")+AND(J117&lt;&gt;"",J117&amp;""&lt;&gt;"0",TRIM(O117)=""))&gt;0,"Add evidence","Complete")))</f>
        <v/>
      </c>
      <c r="Z117" s="24" t="inlineStr">
        <is>
          <t>6224</t>
        </is>
      </c>
      <c r="AA117" s="24" t="inlineStr">
        <is>
          <t>Hunters and Trappers</t>
        </is>
      </c>
      <c r="AB117" s="24" t="inlineStr">
        <is>
          <t>622</t>
        </is>
      </c>
      <c r="AC117" s="24" t="inlineStr">
        <is>
          <t>Fishery Workers, Hunters and Trappers</t>
        </is>
      </c>
      <c r="AD117" s="24" t="n">
        <v>6</v>
      </c>
      <c r="AE117" s="24" t="inlineStr">
        <is>
          <t>Skilled Agricultural, Forestry and Fishery Workers</t>
        </is>
      </c>
      <c r="AF117" s="24" t="inlineStr">
        <is>
          <t>2</t>
        </is>
      </c>
      <c r="AG117" s="24" t="inlineStr">
        <is>
          <t>6159.90</t>
        </is>
      </c>
      <c r="AH117" s="24" t="n"/>
      <c r="AI117" s="24" t="n"/>
    </row>
    <row r="118" ht="190.8" customHeight="1">
      <c r="A118" s="24" t="n">
        <v>116</v>
      </c>
      <c r="B118" s="24" t="inlineStr">
        <is>
          <t>7112.0500</t>
        </is>
      </c>
      <c r="C118" s="24" t="inlineStr">
        <is>
          <t>Tar Supervisor</t>
        </is>
      </c>
      <c r="D118" s="25" t="inlineStr">
        <is>
          <t>Tar Supervisor; Bitumen Supervisor supervises and guides laying of asphalt (complex mixture of hydrocarbons) or other bituminous (inflammable mineral substance) material over roads, roofs, etc. for surfacing and water-proofing. Gets drums filled with asphalt and other bituminous material heated on fire and ensures proper melting and mixing of contents. Directs workers to place "templates" (pattern of wood, iron etc. used as guide for levelling) on road or roof for proper laying and setting of asphalt and other material. Puts on thin padding or rubber gloves to protect remain protected from burns, guides pouring of molten material or base and spreads it uniformly over set area with mop brush or other device. Ensures uniformity and even spreading of tar or bituminous materials on surface and applies subsequent coating if needed. Lays tar over angles and corners with special care and directs workers to apply sealing coat (spreading of gravel or sand over tar coating). Removes template and allows laid material to dry in sun before use. Is designated as BITUMEN SPRAYER if engaged in spraying hot liquid bitumen on road surface with spray gun connected with supply hose to tar heating tank. May use special thermometer to ensure required temperature of molten tar.</t>
        </is>
      </c>
      <c r="E118" s="26" t="n"/>
      <c r="F118" s="26" t="n"/>
      <c r="G118" s="26" t="n"/>
      <c r="H118" s="26" t="n"/>
      <c r="I118" s="26" t="n"/>
      <c r="J118" s="26" t="n"/>
      <c r="K118" s="27" t="n"/>
      <c r="L118" s="27" t="n"/>
      <c r="M118" s="27" t="n"/>
      <c r="N118" s="27" t="n"/>
      <c r="O118" s="27" t="n"/>
      <c r="P118" s="26" t="n"/>
      <c r="Q118" s="26" t="n"/>
      <c r="R118" s="26" t="n"/>
      <c r="S118" s="26" t="n"/>
      <c r="T118" s="26" t="n"/>
      <c r="U118" s="26" t="n"/>
      <c r="V118" s="26" t="n"/>
      <c r="W118" s="26" t="n"/>
      <c r="X118" s="27" t="n"/>
      <c r="Y118" s="28">
        <f>IF(COUNTA(E118:J118,P118:W118)=0,"Not started",IF(COUNTA(E118:J118,P118:W118)&lt;14,"Incomplete",IF((AND(F118&lt;&gt;"",F118&amp;""&lt;&gt;"0",TRIM(K118)="")+AND(G118&lt;&gt;"",G118&amp;""&lt;&gt;"0",TRIM(L118)="")+AND(H118&lt;&gt;"",H118&amp;""&lt;&gt;"0",TRIM(M118)="")+AND(I118&lt;&gt;"",I118&amp;""&lt;&gt;"0",TRIM(N118)="")+AND(J118&lt;&gt;"",J118&amp;""&lt;&gt;"0",TRIM(O118)=""))&gt;0,"Add evidence","Complete")))</f>
        <v/>
      </c>
      <c r="Z118" s="24" t="inlineStr">
        <is>
          <t>7112</t>
        </is>
      </c>
      <c r="AA118" s="24" t="inlineStr">
        <is>
          <t>Bricklayers and Related Workers</t>
        </is>
      </c>
      <c r="AB118" s="24" t="inlineStr">
        <is>
          <t>711</t>
        </is>
      </c>
      <c r="AC118" s="24" t="inlineStr">
        <is>
          <t>Building Frames and Related Trades Workers</t>
        </is>
      </c>
      <c r="AD118" s="24" t="n">
        <v>7</v>
      </c>
      <c r="AE118" s="24" t="inlineStr">
        <is>
          <t>Craft and Related Trades Workers</t>
        </is>
      </c>
      <c r="AF118" s="24" t="inlineStr">
        <is>
          <t>2</t>
        </is>
      </c>
      <c r="AG118" s="24" t="inlineStr">
        <is>
          <t>7122.50</t>
        </is>
      </c>
      <c r="AH118" s="24" t="n"/>
      <c r="AI118" s="24" t="n"/>
    </row>
    <row r="119" ht="124.8" customHeight="1">
      <c r="A119" s="24" t="n">
        <v>117</v>
      </c>
      <c r="B119" s="24" t="inlineStr">
        <is>
          <t>7124.0100</t>
        </is>
      </c>
      <c r="C119" s="24" t="inlineStr">
        <is>
          <t>Building Insulator, Hand</t>
        </is>
      </c>
      <c r="D119" s="25" t="inlineStr">
        <is>
          <t>Building Insulator, Hand applies slabs or bats (sheets) of insulating material, such as cork or spun glass, to walls, floors and ceilings in buildings. Examines drawings and other specifications. Nails or wires bats of insulating material, such as rock wood or spun glass to interiors of walls, on attic roofs and on bottom of floors, or spreads hot asphalt on surface and embeds courses of cork slabs in it, or spreads cement mortar with trowel on slabs and sticks them to surface. Nails slabs to walls and ceilings for additional security. Saws slabs to make them fit at ends of courses and around outlets and fixtures. May construct interior insulating walls by fixing courses of compressed cork blocks one upon another with cementing substance. May finish cork surface of walls and ceilings with plaster or spread concrete over floor slabs to form wearing floor.</t>
        </is>
      </c>
      <c r="E119" s="26" t="n"/>
      <c r="F119" s="26" t="n"/>
      <c r="G119" s="26" t="n"/>
      <c r="H119" s="26" t="n"/>
      <c r="I119" s="26" t="n"/>
      <c r="J119" s="26" t="n"/>
      <c r="K119" s="27" t="n"/>
      <c r="L119" s="27" t="n"/>
      <c r="M119" s="27" t="n"/>
      <c r="N119" s="27" t="n"/>
      <c r="O119" s="27" t="n"/>
      <c r="P119" s="26" t="n"/>
      <c r="Q119" s="26" t="n"/>
      <c r="R119" s="26" t="n"/>
      <c r="S119" s="26" t="n"/>
      <c r="T119" s="26" t="n"/>
      <c r="U119" s="26" t="n"/>
      <c r="V119" s="26" t="n"/>
      <c r="W119" s="26" t="n"/>
      <c r="X119" s="27" t="n"/>
      <c r="Y119" s="28">
        <f>IF(COUNTA(E119:J119,P119:W119)=0,"Not started",IF(COUNTA(E119:J119,P119:W119)&lt;14,"Incomplete",IF((AND(F119&lt;&gt;"",F119&amp;""&lt;&gt;"0",TRIM(K119)="")+AND(G119&lt;&gt;"",G119&amp;""&lt;&gt;"0",TRIM(L119)="")+AND(H119&lt;&gt;"",H119&amp;""&lt;&gt;"0",TRIM(M119)="")+AND(I119&lt;&gt;"",I119&amp;""&lt;&gt;"0",TRIM(N119)="")+AND(J119&lt;&gt;"",J119&amp;""&lt;&gt;"0",TRIM(O119)=""))&gt;0,"Add evidence","Complete")))</f>
        <v/>
      </c>
      <c r="Z119" s="24" t="inlineStr">
        <is>
          <t>7124</t>
        </is>
      </c>
      <c r="AA119" s="24" t="inlineStr">
        <is>
          <t>Insulation Workers</t>
        </is>
      </c>
      <c r="AB119" s="24" t="inlineStr">
        <is>
          <t>712</t>
        </is>
      </c>
      <c r="AC119" s="24" t="inlineStr">
        <is>
          <t>Building Finishers and Related Trades Workers</t>
        </is>
      </c>
      <c r="AD119" s="24" t="n">
        <v>7</v>
      </c>
      <c r="AE119" s="24" t="inlineStr">
        <is>
          <t>Craft and Related Trades Workers</t>
        </is>
      </c>
      <c r="AF119" s="24" t="inlineStr">
        <is>
          <t>2</t>
        </is>
      </c>
      <c r="AG119" s="24" t="inlineStr">
        <is>
          <t>7134.10</t>
        </is>
      </c>
      <c r="AH119" s="24" t="n"/>
      <c r="AI119" s="24" t="n"/>
    </row>
    <row r="120" ht="177.6" customHeight="1">
      <c r="A120" s="24" t="n">
        <v>118</v>
      </c>
      <c r="B120" s="24" t="inlineStr">
        <is>
          <t>7132.0300</t>
        </is>
      </c>
      <c r="C120" s="24" t="inlineStr">
        <is>
          <t>Metal Sprayer</t>
        </is>
      </c>
      <c r="D120" s="25" t="inlineStr">
        <is>
          <t>Metal Sprayer controls portable flame spray equipment to spray corrosionresistant coatings, such as zinc or aluminium, on objects, such as plates, tanks, and structural shapes according to specifications: Cleans and roughens surface of object to be coated, using sandblasting equipment. Selects nozzle to accommodate size of wire to be melted and sprayed and screws nozzle into place on metallizing gun. Inserts wire into rear of gun and through feed rollers and nozzle. Connects hoses from gun to air compressor and tanks of oxygen and fuel gas, such as acetylene. Turns knobs to synchronize speed of wire feed, air pressure, and flow of oxygen and fuel indicated on dials to specifications computed from data charts. Ignites gases to melt wire and presses button or trigger to release compressed air, which atomises and sprays molten metal onto work piece. Directs spray over surface of work piece in specified pattern to obtain coating of required thickness as indicated by electromagnetic gauge or amount of wire used. May spray or brush paint or apply sealing material on coated surface for decoration or further protection. May flame-spray non-metallic objects, such as glass or plastics.</t>
        </is>
      </c>
      <c r="E120" s="26" t="n"/>
      <c r="F120" s="26" t="n"/>
      <c r="G120" s="26" t="n"/>
      <c r="H120" s="26" t="n"/>
      <c r="I120" s="26" t="n"/>
      <c r="J120" s="26" t="n"/>
      <c r="K120" s="27" t="n"/>
      <c r="L120" s="27" t="n"/>
      <c r="M120" s="27" t="n"/>
      <c r="N120" s="27" t="n"/>
      <c r="O120" s="27" t="n"/>
      <c r="P120" s="26" t="n"/>
      <c r="Q120" s="26" t="n"/>
      <c r="R120" s="26" t="n"/>
      <c r="S120" s="26" t="n"/>
      <c r="T120" s="26" t="n"/>
      <c r="U120" s="26" t="n"/>
      <c r="V120" s="26" t="n"/>
      <c r="W120" s="26" t="n"/>
      <c r="X120" s="27" t="n"/>
      <c r="Y120" s="28">
        <f>IF(COUNTA(E120:J120,P120:W120)=0,"Not started",IF(COUNTA(E120:J120,P120:W120)&lt;14,"Incomplete",IF((AND(F120&lt;&gt;"",F120&amp;""&lt;&gt;"0",TRIM(K120)="")+AND(G120&lt;&gt;"",G120&amp;""&lt;&gt;"0",TRIM(L120)="")+AND(H120&lt;&gt;"",H120&amp;""&lt;&gt;"0",TRIM(M120)="")+AND(I120&lt;&gt;"",I120&amp;""&lt;&gt;"0",TRIM(N120)="")+AND(J120&lt;&gt;"",J120&amp;""&lt;&gt;"0",TRIM(O120)=""))&gt;0,"Add evidence","Complete")))</f>
        <v/>
      </c>
      <c r="Z120" s="24" t="inlineStr">
        <is>
          <t>7132</t>
        </is>
      </c>
      <c r="AA120" s="24" t="inlineStr">
        <is>
          <t>Spray Painters and Varnishers</t>
        </is>
      </c>
      <c r="AB120" s="24" t="inlineStr">
        <is>
          <t>713</t>
        </is>
      </c>
      <c r="AC120" s="24" t="inlineStr">
        <is>
          <t>Painters, Builders, Structure Cleaners and Related Trades Workers</t>
        </is>
      </c>
      <c r="AD120" s="24" t="n">
        <v>7</v>
      </c>
      <c r="AE120" s="24" t="inlineStr">
        <is>
          <t>Craft and Related Trades Workers</t>
        </is>
      </c>
      <c r="AF120" s="24" t="inlineStr">
        <is>
          <t>2</t>
        </is>
      </c>
      <c r="AG120" s="24" t="inlineStr">
        <is>
          <t>7142.25</t>
        </is>
      </c>
      <c r="AH120" s="24" t="n"/>
      <c r="AI120" s="24" t="n"/>
    </row>
    <row r="121" ht="124.8" customHeight="1">
      <c r="A121" s="24" t="n">
        <v>119</v>
      </c>
      <c r="B121" s="24" t="inlineStr">
        <is>
          <t>7132.0700</t>
        </is>
      </c>
      <c r="C121" s="24" t="inlineStr">
        <is>
          <t>Painter, Glass</t>
        </is>
      </c>
      <c r="D121" s="25" t="inlineStr">
        <is>
          <t>Painter, Glass paints ornamental and decorative designs on window glass and other glass articles using paints of required colours and painting brushes. Studies design or ornamental features and draws free hand out lines in chalk, pencil or with special brush on glass planes or other glass wares to be painted. Paints on objects required design, using paints of different colour to match design or pattern. Paints details and shade on coloured glass previously waxed up according to original pattern to complete design of windows used in churches, memorials and residences utilising knowledge of art, portraiture and effect of light and shade on glass. Cleans brushes in oil or solvent after painting. May estimate cost of work. May paint walls, roof etc., of buildings. May stain back of painted glass pieces with silver chloride to achieve gold effect.</t>
        </is>
      </c>
      <c r="E121" s="26" t="n"/>
      <c r="F121" s="26" t="n"/>
      <c r="G121" s="26" t="n"/>
      <c r="H121" s="26" t="n"/>
      <c r="I121" s="26" t="n"/>
      <c r="J121" s="26" t="n"/>
      <c r="K121" s="27" t="n"/>
      <c r="L121" s="27" t="n"/>
      <c r="M121" s="27" t="n"/>
      <c r="N121" s="27" t="n"/>
      <c r="O121" s="27" t="n"/>
      <c r="P121" s="26" t="n"/>
      <c r="Q121" s="26" t="n"/>
      <c r="R121" s="26" t="n"/>
      <c r="S121" s="26" t="n"/>
      <c r="T121" s="26" t="n"/>
      <c r="U121" s="26" t="n"/>
      <c r="V121" s="26" t="n"/>
      <c r="W121" s="26" t="n"/>
      <c r="X121" s="27" t="n"/>
      <c r="Y121" s="28">
        <f>IF(COUNTA(E121:J121,P121:W121)=0,"Not started",IF(COUNTA(E121:J121,P121:W121)&lt;14,"Incomplete",IF((AND(F121&lt;&gt;"",F121&amp;""&lt;&gt;"0",TRIM(K121)="")+AND(G121&lt;&gt;"",G121&amp;""&lt;&gt;"0",TRIM(L121)="")+AND(H121&lt;&gt;"",H121&amp;""&lt;&gt;"0",TRIM(M121)="")+AND(I121&lt;&gt;"",I121&amp;""&lt;&gt;"0",TRIM(N121)="")+AND(J121&lt;&gt;"",J121&amp;""&lt;&gt;"0",TRIM(O121)=""))&gt;0,"Add evidence","Complete")))</f>
        <v/>
      </c>
      <c r="Z121" s="24" t="inlineStr">
        <is>
          <t>7132</t>
        </is>
      </c>
      <c r="AA121" s="24" t="inlineStr">
        <is>
          <t>Spray Painters and Varnishers</t>
        </is>
      </c>
      <c r="AB121" s="24" t="inlineStr">
        <is>
          <t>713</t>
        </is>
      </c>
      <c r="AC121" s="24" t="inlineStr">
        <is>
          <t>Painters, Builders, Structure Cleaners and Related Trades Workers</t>
        </is>
      </c>
      <c r="AD121" s="24" t="n">
        <v>7</v>
      </c>
      <c r="AE121" s="24" t="inlineStr">
        <is>
          <t>Craft and Related Trades Workers</t>
        </is>
      </c>
      <c r="AF121" s="24" t="inlineStr">
        <is>
          <t>2</t>
        </is>
      </c>
      <c r="AG121" s="24" t="inlineStr">
        <is>
          <t>7142.60</t>
        </is>
      </c>
      <c r="AH121" s="24" t="n"/>
      <c r="AI121" s="24" t="n"/>
    </row>
    <row r="122" ht="72" customHeight="1">
      <c r="A122" s="24" t="n">
        <v>120</v>
      </c>
      <c r="B122" s="24" t="inlineStr">
        <is>
          <t>7212.0105</t>
        </is>
      </c>
      <c r="C122" s="24" t="inlineStr">
        <is>
          <t>Iron and Steel (Tungsten Inert Gas Welder)</t>
        </is>
      </c>
      <c r="D122" s="25" t="inlineStr">
        <is>
          <t>Iron and Steel (Tungsten Inert Gas Welder) performs manual TIG (GTAW) welding for a range of standard welding job requirements. This is for skilled welder who can weld different materials (carbon steel, aluminium, nickel, titanium, copper and stainless steel) in various positions and prepare various joints including corner, butt, fillet and tee. Set-up and prepare for operations interpreting the right information from the WPS</t>
        </is>
      </c>
      <c r="E122" s="26" t="n"/>
      <c r="F122" s="26" t="n"/>
      <c r="G122" s="26" t="n"/>
      <c r="H122" s="26" t="n"/>
      <c r="I122" s="26" t="n"/>
      <c r="J122" s="26" t="n"/>
      <c r="K122" s="27" t="n"/>
      <c r="L122" s="27" t="n"/>
      <c r="M122" s="27" t="n"/>
      <c r="N122" s="27" t="n"/>
      <c r="O122" s="27" t="n"/>
      <c r="P122" s="26" t="n"/>
      <c r="Q122" s="26" t="n"/>
      <c r="R122" s="26" t="n"/>
      <c r="S122" s="26" t="n"/>
      <c r="T122" s="26" t="n"/>
      <c r="U122" s="26" t="n"/>
      <c r="V122" s="26" t="n"/>
      <c r="W122" s="26" t="n"/>
      <c r="X122" s="27" t="n"/>
      <c r="Y122" s="28">
        <f>IF(COUNTA(E122:J122,P122:W122)=0,"Not started",IF(COUNTA(E122:J122,P122:W122)&lt;14,"Incomplete",IF((AND(F122&lt;&gt;"",F122&amp;""&lt;&gt;"0",TRIM(K122)="")+AND(G122&lt;&gt;"",G122&amp;""&lt;&gt;"0",TRIM(L122)="")+AND(H122&lt;&gt;"",H122&amp;""&lt;&gt;"0",TRIM(M122)="")+AND(I122&lt;&gt;"",I122&amp;""&lt;&gt;"0",TRIM(N122)="")+AND(J122&lt;&gt;"",J122&amp;""&lt;&gt;"0",TRIM(O122)=""))&gt;0,"Add evidence","Complete")))</f>
        <v/>
      </c>
      <c r="Z122" s="24" t="inlineStr">
        <is>
          <t>7212</t>
        </is>
      </c>
      <c r="AA122" s="24" t="inlineStr">
        <is>
          <t>Welders and Flame Cutters</t>
        </is>
      </c>
      <c r="AB122" s="24" t="inlineStr">
        <is>
          <t>721</t>
        </is>
      </c>
      <c r="AC122" s="24" t="inlineStr">
        <is>
          <t>Sheet and Structural Metal Workers, Moulders and Welders, and Related Workers</t>
        </is>
      </c>
      <c r="AD122" s="24" t="n">
        <v>7</v>
      </c>
      <c r="AE122" s="24" t="inlineStr">
        <is>
          <t>Craft and Related Trades Workers</t>
        </is>
      </c>
      <c r="AF122" s="24" t="inlineStr">
        <is>
          <t>2</t>
        </is>
      </c>
      <c r="AG122" s="24" t="n"/>
      <c r="AH122" s="24" t="inlineStr">
        <is>
          <t>ISC/Q0807</t>
        </is>
      </c>
      <c r="AI122" s="24" t="inlineStr">
        <is>
          <t>4</t>
        </is>
      </c>
    </row>
    <row r="123" ht="72" customHeight="1">
      <c r="A123" s="24" t="n">
        <v>121</v>
      </c>
      <c r="B123" s="24" t="inlineStr">
        <is>
          <t>7221.9900</t>
        </is>
      </c>
      <c r="C123" s="24" t="inlineStr">
        <is>
          <t>Blacksmiths, Hammersmiths and Forging Press Workers, Other</t>
        </is>
      </c>
      <c r="D123" s="25" t="inlineStr">
        <is>
          <t>Blacksmiths, Hammer-smiths and Forgingpress Workers, other perform variety of routine and low skilled tasks not elsewhere classified, in smithy section such as operating levers of power hammer, pulling string of drop forging machine, assisting Forging Machine Operator in placing material on anvil or carrying it off and are designated according to nature of work done such as Lever Man, Stamper Helper, Blacksmith Helper, etc.</t>
        </is>
      </c>
      <c r="E123" s="26" t="n"/>
      <c r="F123" s="26" t="n"/>
      <c r="G123" s="26" t="n"/>
      <c r="H123" s="26" t="n"/>
      <c r="I123" s="26" t="n"/>
      <c r="J123" s="26" t="n"/>
      <c r="K123" s="27" t="n"/>
      <c r="L123" s="27" t="n"/>
      <c r="M123" s="27" t="n"/>
      <c r="N123" s="27" t="n"/>
      <c r="O123" s="27" t="n"/>
      <c r="P123" s="26" t="n"/>
      <c r="Q123" s="26" t="n"/>
      <c r="R123" s="26" t="n"/>
      <c r="S123" s="26" t="n"/>
      <c r="T123" s="26" t="n"/>
      <c r="U123" s="26" t="n"/>
      <c r="V123" s="26" t="n"/>
      <c r="W123" s="26" t="n"/>
      <c r="X123" s="27" t="n"/>
      <c r="Y123" s="28">
        <f>IF(COUNTA(E123:J123,P123:W123)=0,"Not started",IF(COUNTA(E123:J123,P123:W123)&lt;14,"Incomplete",IF((AND(F123&lt;&gt;"",F123&amp;""&lt;&gt;"0",TRIM(K123)="")+AND(G123&lt;&gt;"",G123&amp;""&lt;&gt;"0",TRIM(L123)="")+AND(H123&lt;&gt;"",H123&amp;""&lt;&gt;"0",TRIM(M123)="")+AND(I123&lt;&gt;"",I123&amp;""&lt;&gt;"0",TRIM(N123)="")+AND(J123&lt;&gt;"",J123&amp;""&lt;&gt;"0",TRIM(O123)=""))&gt;0,"Add evidence","Complete")))</f>
        <v/>
      </c>
      <c r="Z123" s="24" t="inlineStr">
        <is>
          <t>7221</t>
        </is>
      </c>
      <c r="AA123" s="24" t="inlineStr">
        <is>
          <t>Blacksmiths, Hammersmith and Forging Press Workers</t>
        </is>
      </c>
      <c r="AB123" s="24" t="inlineStr">
        <is>
          <t>722</t>
        </is>
      </c>
      <c r="AC123" s="24" t="inlineStr">
        <is>
          <t>Blacksmiths, Tool Makers and Related Trades Workers</t>
        </is>
      </c>
      <c r="AD123" s="24" t="n">
        <v>7</v>
      </c>
      <c r="AE123" s="24" t="inlineStr">
        <is>
          <t>Craft and Related Trades Workers</t>
        </is>
      </c>
      <c r="AF123" s="24" t="inlineStr">
        <is>
          <t>2</t>
        </is>
      </c>
      <c r="AG123" s="24" t="inlineStr">
        <is>
          <t>7221.90</t>
        </is>
      </c>
      <c r="AH123" s="24" t="n"/>
      <c r="AI123" s="24" t="n"/>
    </row>
    <row r="124" ht="85.19999999999999" customHeight="1">
      <c r="A124" s="24" t="n">
        <v>122</v>
      </c>
      <c r="B124" s="24" t="inlineStr">
        <is>
          <t>7223.5002</t>
        </is>
      </c>
      <c r="C124" s="24" t="inlineStr">
        <is>
          <t>CNC Operator-Machining Technician</t>
        </is>
      </c>
      <c r="D124" s="25" t="inlineStr">
        <is>
          <t>CNC Operator-Machining Technician sets up base level operations of different machine tools and same can be performed both manually and through automatic machines/robots. Machining Technician Level 3 is often called Assistant Machinist, Junior Machinist, Lathe Operator, Apprentice Machinist, SemiSkilled Operator. This role primarily involves supporting the Machine Operator in all pre machining activities, machining of the actual part, ad hoc repair work like in auto service stations, gauging, deburring and inspection activities</t>
        </is>
      </c>
      <c r="E124" s="26" t="n"/>
      <c r="F124" s="26" t="n"/>
      <c r="G124" s="26" t="n"/>
      <c r="H124" s="26" t="n"/>
      <c r="I124" s="26" t="n"/>
      <c r="J124" s="26" t="n"/>
      <c r="K124" s="27" t="n"/>
      <c r="L124" s="27" t="n"/>
      <c r="M124" s="27" t="n"/>
      <c r="N124" s="27" t="n"/>
      <c r="O124" s="27" t="n"/>
      <c r="P124" s="26" t="n"/>
      <c r="Q124" s="26" t="n"/>
      <c r="R124" s="26" t="n"/>
      <c r="S124" s="26" t="n"/>
      <c r="T124" s="26" t="n"/>
      <c r="U124" s="26" t="n"/>
      <c r="V124" s="26" t="n"/>
      <c r="W124" s="26" t="n"/>
      <c r="X124" s="27" t="n"/>
      <c r="Y124" s="28">
        <f>IF(COUNTA(E124:J124,P124:W124)=0,"Not started",IF(COUNTA(E124:J124,P124:W124)&lt;14,"Incomplete",IF((AND(F124&lt;&gt;"",F124&amp;""&lt;&gt;"0",TRIM(K124)="")+AND(G124&lt;&gt;"",G124&amp;""&lt;&gt;"0",TRIM(L124)="")+AND(H124&lt;&gt;"",H124&amp;""&lt;&gt;"0",TRIM(M124)="")+AND(I124&lt;&gt;"",I124&amp;""&lt;&gt;"0",TRIM(N124)="")+AND(J124&lt;&gt;"",J124&amp;""&lt;&gt;"0",TRIM(O124)=""))&gt;0,"Add evidence","Complete")))</f>
        <v/>
      </c>
      <c r="Z124" s="24" t="inlineStr">
        <is>
          <t>7223</t>
        </is>
      </c>
      <c r="AA124" s="24" t="inlineStr">
        <is>
          <t>Metal Working Machine Tool Setters and Operators</t>
        </is>
      </c>
      <c r="AB124" s="24" t="inlineStr">
        <is>
          <t>722</t>
        </is>
      </c>
      <c r="AC124" s="24" t="inlineStr">
        <is>
          <t>Blacksmiths, Tool Makers and Related Trades Workers</t>
        </is>
      </c>
      <c r="AD124" s="24" t="n">
        <v>7</v>
      </c>
      <c r="AE124" s="24" t="inlineStr">
        <is>
          <t>Craft and Related Trades Workers</t>
        </is>
      </c>
      <c r="AF124" s="24" t="inlineStr">
        <is>
          <t>2</t>
        </is>
      </c>
      <c r="AG124" s="24" t="n"/>
      <c r="AH124" s="24" t="inlineStr">
        <is>
          <t>ASC/Q3501</t>
        </is>
      </c>
      <c r="AI124" s="24" t="inlineStr">
        <is>
          <t>3</t>
        </is>
      </c>
    </row>
    <row r="125" ht="72" customHeight="1">
      <c r="A125" s="24" t="n">
        <v>123</v>
      </c>
      <c r="B125" s="24" t="inlineStr">
        <is>
          <t>7231.9900</t>
        </is>
      </c>
      <c r="C125" s="24" t="inlineStr">
        <is>
          <t>Motor Vehicle Mechanics, Other</t>
        </is>
      </c>
      <c r="D125" s="25" t="inlineStr">
        <is>
          <t>Motor Vehicle Mechanics, other perform number of routine and low skilled tasks in repairing and overhauling motor vehicles such as removing mudguards, bonnets etc. to facilitate working, adjusting alternator and fan belt, assist in bleeding of brakes, draining gear box and oil pump, removing and resetting road spring, etc., and are designated as Motor Mechanic Helper, or Garage Boy according to nature of work done.</t>
        </is>
      </c>
      <c r="E125" s="26" t="n"/>
      <c r="F125" s="26" t="n"/>
      <c r="G125" s="26" t="n"/>
      <c r="H125" s="26" t="n"/>
      <c r="I125" s="26" t="n"/>
      <c r="J125" s="26" t="n"/>
      <c r="K125" s="27" t="n"/>
      <c r="L125" s="27" t="n"/>
      <c r="M125" s="27" t="n"/>
      <c r="N125" s="27" t="n"/>
      <c r="O125" s="27" t="n"/>
      <c r="P125" s="26" t="n"/>
      <c r="Q125" s="26" t="n"/>
      <c r="R125" s="26" t="n"/>
      <c r="S125" s="26" t="n"/>
      <c r="T125" s="26" t="n"/>
      <c r="U125" s="26" t="n"/>
      <c r="V125" s="26" t="n"/>
      <c r="W125" s="26" t="n"/>
      <c r="X125" s="27" t="n"/>
      <c r="Y125" s="28">
        <f>IF(COUNTA(E125:J125,P125:W125)=0,"Not started",IF(COUNTA(E125:J125,P125:W125)&lt;14,"Incomplete",IF((AND(F125&lt;&gt;"",F125&amp;""&lt;&gt;"0",TRIM(K125)="")+AND(G125&lt;&gt;"",G125&amp;""&lt;&gt;"0",TRIM(L125)="")+AND(H125&lt;&gt;"",H125&amp;""&lt;&gt;"0",TRIM(M125)="")+AND(I125&lt;&gt;"",I125&amp;""&lt;&gt;"0",TRIM(N125)="")+AND(J125&lt;&gt;"",J125&amp;""&lt;&gt;"0",TRIM(O125)=""))&gt;0,"Add evidence","Complete")))</f>
        <v/>
      </c>
      <c r="Z125" s="24" t="inlineStr">
        <is>
          <t>7231</t>
        </is>
      </c>
      <c r="AA125" s="24" t="inlineStr">
        <is>
          <t>Motor Vehicle Mechanics and Repairers</t>
        </is>
      </c>
      <c r="AB125" s="24" t="inlineStr">
        <is>
          <t>723</t>
        </is>
      </c>
      <c r="AC125" s="24" t="inlineStr">
        <is>
          <t>Machinery Mechanics and Repairers</t>
        </is>
      </c>
      <c r="AD125" s="24" t="n">
        <v>7</v>
      </c>
      <c r="AE125" s="24" t="inlineStr">
        <is>
          <t>Craft and Related Trades Workers</t>
        </is>
      </c>
      <c r="AF125" s="24" t="inlineStr">
        <is>
          <t>2</t>
        </is>
      </c>
      <c r="AG125" s="24" t="inlineStr">
        <is>
          <t>7231.90</t>
        </is>
      </c>
      <c r="AH125" s="24" t="n"/>
      <c r="AI125" s="24" t="n"/>
    </row>
    <row r="126" ht="177.6" customHeight="1">
      <c r="A126" s="24" t="n">
        <v>124</v>
      </c>
      <c r="B126" s="24" t="inlineStr">
        <is>
          <t>7233.1000</t>
        </is>
      </c>
      <c r="C126" s="24" t="inlineStr">
        <is>
          <t>Mechanic, Stationery Steam Engine</t>
        </is>
      </c>
      <c r="D126" s="25" t="inlineStr">
        <is>
          <t>Mechanic, Stationary Steam Engine repairs, services and overhauls steam engine for correct performance. Examines steam pipes, joints, valves etc. to ascertain nature and location of defects and dismantles them partly or wholly as necessary to remove damaged or worn out parts. Replaces or repairs damaged and worn part by remitting, filling, grinding and scraping etc. and measures them for size to ensure functional accuracy. Checks alignments with gauges and spirit level and assembles parts and complete unit doing supplementary tooling as necessary to ensure accuracy of fit. Tests reassembled equipment, sets valves, adjusts control and makes necessary adjustments. Starts engine, observes gauges and meters to ascertain engine performance, balances etc. and makes further adjustments if necessary. Checks, adjusts lubricates working parts, tightens loose parts and performs other servicing tasks periodically to keep engine in good running condition. Reports to Mechanical Engineer of any service defects noticed for rectification. May keep record of parts examined and engine performance. May erect and install equipment. May operate or drive steam engine</t>
        </is>
      </c>
      <c r="E126" s="26" t="n"/>
      <c r="F126" s="26" t="n"/>
      <c r="G126" s="26" t="n"/>
      <c r="H126" s="26" t="n"/>
      <c r="I126" s="26" t="n"/>
      <c r="J126" s="26" t="n"/>
      <c r="K126" s="27" t="n"/>
      <c r="L126" s="27" t="n"/>
      <c r="M126" s="27" t="n"/>
      <c r="N126" s="27" t="n"/>
      <c r="O126" s="27" t="n"/>
      <c r="P126" s="26" t="n"/>
      <c r="Q126" s="26" t="n"/>
      <c r="R126" s="26" t="n"/>
      <c r="S126" s="26" t="n"/>
      <c r="T126" s="26" t="n"/>
      <c r="U126" s="26" t="n"/>
      <c r="V126" s="26" t="n"/>
      <c r="W126" s="26" t="n"/>
      <c r="X126" s="27" t="n"/>
      <c r="Y126" s="28">
        <f>IF(COUNTA(E126:J126,P126:W126)=0,"Not started",IF(COUNTA(E126:J126,P126:W126)&lt;14,"Incomplete",IF((AND(F126&lt;&gt;"",F126&amp;""&lt;&gt;"0",TRIM(K126)="")+AND(G126&lt;&gt;"",G126&amp;""&lt;&gt;"0",TRIM(L126)="")+AND(H126&lt;&gt;"",H126&amp;""&lt;&gt;"0",TRIM(M126)="")+AND(I126&lt;&gt;"",I126&amp;""&lt;&gt;"0",TRIM(N126)="")+AND(J126&lt;&gt;"",J126&amp;""&lt;&gt;"0",TRIM(O126)=""))&gt;0,"Add evidence","Complete")))</f>
        <v/>
      </c>
      <c r="Z126" s="24" t="inlineStr">
        <is>
          <t>7233</t>
        </is>
      </c>
      <c r="AA126" s="24" t="inlineStr">
        <is>
          <t>Agricultural and Industrial Machinery Mechanics and Repairers</t>
        </is>
      </c>
      <c r="AB126" s="24" t="inlineStr">
        <is>
          <t>723</t>
        </is>
      </c>
      <c r="AC126" s="24" t="inlineStr">
        <is>
          <t>Machinery Mechanics and Repairers</t>
        </is>
      </c>
      <c r="AD126" s="24" t="n">
        <v>7</v>
      </c>
      <c r="AE126" s="24" t="inlineStr">
        <is>
          <t>Craft and Related Trades Workers</t>
        </is>
      </c>
      <c r="AF126" s="24" t="inlineStr">
        <is>
          <t>2</t>
        </is>
      </c>
      <c r="AG126" s="24" t="inlineStr">
        <is>
          <t>7233.34</t>
        </is>
      </c>
      <c r="AH126" s="24" t="n"/>
      <c r="AI126" s="24" t="n"/>
    </row>
    <row r="127" ht="190.8" customHeight="1">
      <c r="A127" s="24" t="n">
        <v>125</v>
      </c>
      <c r="B127" s="24" t="inlineStr">
        <is>
          <t>7311.0200</t>
        </is>
      </c>
      <c r="C127" s="24" t="inlineStr">
        <is>
          <t>Watch Repairer</t>
        </is>
      </c>
      <c r="D127" s="25" t="inlineStr">
        <is>
          <t>Watch Repairer cleans repairs and adjusts clocks, watches and time pieces for accurate time keeping. Examines watch pieces or clock mechanism using magnifying eyepiece to locate defects. Opens watch and disassembles components or parts of watch such as main spring, hair spring, balance staff etc. using special screw drivers, tweezers, pincers, and other watch makers tool. Cleans part with benzene or other cleaning solution using special brushes. Checks, jewels, spring, pinion joints pivots, balance staff etc. and determines their serviceability. Repairs or replaces broken or damaged parts and assembles watch step by step in proper sequence ensuring desired performance of each component. Lubricates pivots and operating components with thin special type of vile and soaks extra oil using pith sticks. Winds watch, observers performance and sets it with chronometer or accurate watch to regulate timing. Makes necessary adjustments after set period and regulates timing both in horizontal and vertical positions to ensure accurate time keeping. Is designated as Watch Maker if able to make balance staff pivots etc. operate watchmakers lathe and overhaul chronometers, self-winding, electric and other types of special watches and clocks. May operate cleaning machine to clean delicate parts in petrol and special solutions.</t>
        </is>
      </c>
      <c r="E127" s="26" t="n"/>
      <c r="F127" s="26" t="n"/>
      <c r="G127" s="26" t="n"/>
      <c r="H127" s="26" t="n"/>
      <c r="I127" s="26" t="n"/>
      <c r="J127" s="26" t="n"/>
      <c r="K127" s="27" t="n"/>
      <c r="L127" s="27" t="n"/>
      <c r="M127" s="27" t="n"/>
      <c r="N127" s="27" t="n"/>
      <c r="O127" s="27" t="n"/>
      <c r="P127" s="26" t="n"/>
      <c r="Q127" s="26" t="n"/>
      <c r="R127" s="26" t="n"/>
      <c r="S127" s="26" t="n"/>
      <c r="T127" s="26" t="n"/>
      <c r="U127" s="26" t="n"/>
      <c r="V127" s="26" t="n"/>
      <c r="W127" s="26" t="n"/>
      <c r="X127" s="27" t="n"/>
      <c r="Y127" s="28">
        <f>IF(COUNTA(E127:J127,P127:W127)=0,"Not started",IF(COUNTA(E127:J127,P127:W127)&lt;14,"Incomplete",IF((AND(F127&lt;&gt;"",F127&amp;""&lt;&gt;"0",TRIM(K127)="")+AND(G127&lt;&gt;"",G127&amp;""&lt;&gt;"0",TRIM(L127)="")+AND(H127&lt;&gt;"",H127&amp;""&lt;&gt;"0",TRIM(M127)="")+AND(I127&lt;&gt;"",I127&amp;""&lt;&gt;"0",TRIM(N127)="")+AND(J127&lt;&gt;"",J127&amp;""&lt;&gt;"0",TRIM(O127)=""))&gt;0,"Add evidence","Complete")))</f>
        <v/>
      </c>
      <c r="Z127" s="24" t="inlineStr">
        <is>
          <t>7311</t>
        </is>
      </c>
      <c r="AA127" s="24" t="inlineStr">
        <is>
          <t>Precision Instrument Makers and Repairers</t>
        </is>
      </c>
      <c r="AB127" s="24" t="inlineStr">
        <is>
          <t>731</t>
        </is>
      </c>
      <c r="AC127" s="24" t="inlineStr">
        <is>
          <t>Handicraft Workers</t>
        </is>
      </c>
      <c r="AD127" s="24" t="n">
        <v>7</v>
      </c>
      <c r="AE127" s="24" t="inlineStr">
        <is>
          <t>Craft and Related Trades Workers</t>
        </is>
      </c>
      <c r="AF127" s="24" t="inlineStr">
        <is>
          <t>2</t>
        </is>
      </c>
      <c r="AG127" s="24" t="inlineStr">
        <is>
          <t>7311.20</t>
        </is>
      </c>
      <c r="AH127" s="24" t="n"/>
      <c r="AI127" s="24" t="n"/>
    </row>
    <row r="128" ht="98.39999999999999" customHeight="1">
      <c r="A128" s="24" t="n">
        <v>126</v>
      </c>
      <c r="B128" s="24" t="inlineStr">
        <is>
          <t>7312.1700</t>
        </is>
      </c>
      <c r="C128" s="24" t="inlineStr">
        <is>
          <t>Brass Musical Instruments Assembler</t>
        </is>
      </c>
      <c r="D128" s="25" t="inlineStr">
        <is>
          <t>Brass Musical Instrument Assembler makes required types of brass musical instruments by fitting piston valves, valve tops, bell etc.; in metal body. Collects different parts of musical instrument to be made; joins parts by screwing, riveting or soldering as necessary to obtain desired shape; fits piston valves, valve tops, springs, washers, etc. Checks leakage, brazing etc. and tunes it to required pitch by fitting slide or further tooling as necessary. May specialize in any particular type of brass musical instruments such as cornet, baritone, euphonium, bugle, trumpet etc.</t>
        </is>
      </c>
      <c r="E128" s="26" t="n"/>
      <c r="F128" s="26" t="n"/>
      <c r="G128" s="26" t="n"/>
      <c r="H128" s="26" t="n"/>
      <c r="I128" s="26" t="n"/>
      <c r="J128" s="26" t="n"/>
      <c r="K128" s="27" t="n"/>
      <c r="L128" s="27" t="n"/>
      <c r="M128" s="27" t="n"/>
      <c r="N128" s="27" t="n"/>
      <c r="O128" s="27" t="n"/>
      <c r="P128" s="26" t="n"/>
      <c r="Q128" s="26" t="n"/>
      <c r="R128" s="26" t="n"/>
      <c r="S128" s="26" t="n"/>
      <c r="T128" s="26" t="n"/>
      <c r="U128" s="26" t="n"/>
      <c r="V128" s="26" t="n"/>
      <c r="W128" s="26" t="n"/>
      <c r="X128" s="27" t="n"/>
      <c r="Y128" s="28">
        <f>IF(COUNTA(E128:J128,P128:W128)=0,"Not started",IF(COUNTA(E128:J128,P128:W128)&lt;14,"Incomplete",IF((AND(F128&lt;&gt;"",F128&amp;""&lt;&gt;"0",TRIM(K128)="")+AND(G128&lt;&gt;"",G128&amp;""&lt;&gt;"0",TRIM(L128)="")+AND(H128&lt;&gt;"",H128&amp;""&lt;&gt;"0",TRIM(M128)="")+AND(I128&lt;&gt;"",I128&amp;""&lt;&gt;"0",TRIM(N128)="")+AND(J128&lt;&gt;"",J128&amp;""&lt;&gt;"0",TRIM(O128)=""))&gt;0,"Add evidence","Complete")))</f>
        <v/>
      </c>
      <c r="Z128" s="24" t="inlineStr">
        <is>
          <t>7312</t>
        </is>
      </c>
      <c r="AA128" s="24" t="inlineStr">
        <is>
          <t>Musical Instrument Makers and Tuners</t>
        </is>
      </c>
      <c r="AB128" s="24" t="inlineStr">
        <is>
          <t>731</t>
        </is>
      </c>
      <c r="AC128" s="24" t="inlineStr">
        <is>
          <t>Handicraft Workers</t>
        </is>
      </c>
      <c r="AD128" s="24" t="n">
        <v>7</v>
      </c>
      <c r="AE128" s="24" t="inlineStr">
        <is>
          <t>Craft and Related Trades Workers</t>
        </is>
      </c>
      <c r="AF128" s="24" t="inlineStr">
        <is>
          <t>2</t>
        </is>
      </c>
      <c r="AG128" s="24" t="inlineStr">
        <is>
          <t>7312.60</t>
        </is>
      </c>
      <c r="AH128" s="24" t="n"/>
      <c r="AI128" s="24" t="n"/>
    </row>
    <row r="129" ht="98.39999999999999" customHeight="1">
      <c r="A129" s="24" t="n">
        <v>127</v>
      </c>
      <c r="B129" s="24" t="inlineStr">
        <is>
          <t>7313.0500</t>
        </is>
      </c>
      <c r="C129" s="24" t="inlineStr">
        <is>
          <t>Gold Foil Maker</t>
        </is>
      </c>
      <c r="D129" s="25" t="inlineStr">
        <is>
          <t>Gold Foil Maker makes gold foils from wires for setting jewels in ornaments. Moulds gold into small bar and gets it drawn into wire of required gauge. Cuts convenient length of wire, heats it to specified temperature in mild fire and flattens it to extent possible by beating it with hammer on anvil. Reheats it in controlled low fire, cools and cleans it in chemical or solution of lemon juice and water and repeats process of beating on anvil until it turns into thin paper like foil. Ensures at every stage that foil is not cracked or broken. May also prepare silver foils from wire, and is designated as SILVER FOIL MAKER.</t>
        </is>
      </c>
      <c r="E129" s="26" t="n"/>
      <c r="F129" s="26" t="n"/>
      <c r="G129" s="26" t="n"/>
      <c r="H129" s="26" t="n"/>
      <c r="I129" s="26" t="n"/>
      <c r="J129" s="26" t="n"/>
      <c r="K129" s="27" t="n"/>
      <c r="L129" s="27" t="n"/>
      <c r="M129" s="27" t="n"/>
      <c r="N129" s="27" t="n"/>
      <c r="O129" s="27" t="n"/>
      <c r="P129" s="26" t="n"/>
      <c r="Q129" s="26" t="n"/>
      <c r="R129" s="26" t="n"/>
      <c r="S129" s="26" t="n"/>
      <c r="T129" s="26" t="n"/>
      <c r="U129" s="26" t="n"/>
      <c r="V129" s="26" t="n"/>
      <c r="W129" s="26" t="n"/>
      <c r="X129" s="27" t="n"/>
      <c r="Y129" s="28">
        <f>IF(COUNTA(E129:J129,P129:W129)=0,"Not started",IF(COUNTA(E129:J129,P129:W129)&lt;14,"Incomplete",IF((AND(F129&lt;&gt;"",F129&amp;""&lt;&gt;"0",TRIM(K129)="")+AND(G129&lt;&gt;"",G129&amp;""&lt;&gt;"0",TRIM(L129)="")+AND(H129&lt;&gt;"",H129&amp;""&lt;&gt;"0",TRIM(M129)="")+AND(I129&lt;&gt;"",I129&amp;""&lt;&gt;"0",TRIM(N129)="")+AND(J129&lt;&gt;"",J129&amp;""&lt;&gt;"0",TRIM(O129)=""))&gt;0,"Add evidence","Complete")))</f>
        <v/>
      </c>
      <c r="Z129" s="24" t="inlineStr">
        <is>
          <t>7313</t>
        </is>
      </c>
      <c r="AA129" s="24" t="inlineStr">
        <is>
          <t>Jewellery and Precision Metal Workers</t>
        </is>
      </c>
      <c r="AB129" s="24" t="inlineStr">
        <is>
          <t>731</t>
        </is>
      </c>
      <c r="AC129" s="24" t="inlineStr">
        <is>
          <t>Handicraft Workers</t>
        </is>
      </c>
      <c r="AD129" s="24" t="n">
        <v>7</v>
      </c>
      <c r="AE129" s="24" t="inlineStr">
        <is>
          <t>Craft and Related Trades Workers</t>
        </is>
      </c>
      <c r="AF129" s="24" t="inlineStr">
        <is>
          <t>2</t>
        </is>
      </c>
      <c r="AG129" s="24" t="inlineStr">
        <is>
          <t>7313.22</t>
        </is>
      </c>
      <c r="AH129" s="24" t="n"/>
      <c r="AI129" s="24" t="n"/>
    </row>
    <row r="130" ht="98.39999999999999" customHeight="1">
      <c r="A130" s="24" t="n">
        <v>128</v>
      </c>
      <c r="B130" s="24" t="inlineStr">
        <is>
          <t>7313.0801</t>
        </is>
      </c>
      <c r="C130" s="24" t="inlineStr">
        <is>
          <t>Jewel Setter/Setter</t>
        </is>
      </c>
      <c r="D130" s="25" t="inlineStr">
        <is>
          <t>Jewel Setter; Gem Setter sets jewels in ornaments according to design. Fixes jewels on wooden board or box by shellac according to design. Examines ornaments for jewel setting and makes necessary alternations if required. Lays ornament on table, heats shellac slightly on oil lamp, picks up jewels one at a time, sets them individually in pockets of ornament designed for fixing jewels and securely locks each one of them by bending metal points over jewel or by overlapping system. Is designated as KUNDAN WORKER if engaged in setting jewels by pressing pieces of thin gold foils with tweezer and needle.</t>
        </is>
      </c>
      <c r="E130" s="26" t="n"/>
      <c r="F130" s="26" t="n"/>
      <c r="G130" s="26" t="n"/>
      <c r="H130" s="26" t="n"/>
      <c r="I130" s="26" t="n"/>
      <c r="J130" s="26" t="n"/>
      <c r="K130" s="27" t="n"/>
      <c r="L130" s="27" t="n"/>
      <c r="M130" s="27" t="n"/>
      <c r="N130" s="27" t="n"/>
      <c r="O130" s="27" t="n"/>
      <c r="P130" s="26" t="n"/>
      <c r="Q130" s="26" t="n"/>
      <c r="R130" s="26" t="n"/>
      <c r="S130" s="26" t="n"/>
      <c r="T130" s="26" t="n"/>
      <c r="U130" s="26" t="n"/>
      <c r="V130" s="26" t="n"/>
      <c r="W130" s="26" t="n"/>
      <c r="X130" s="27" t="n"/>
      <c r="Y130" s="28">
        <f>IF(COUNTA(E130:J130,P130:W130)=0,"Not started",IF(COUNTA(E130:J130,P130:W130)&lt;14,"Incomplete",IF((AND(F130&lt;&gt;"",F130&amp;""&lt;&gt;"0",TRIM(K130)="")+AND(G130&lt;&gt;"",G130&amp;""&lt;&gt;"0",TRIM(L130)="")+AND(H130&lt;&gt;"",H130&amp;""&lt;&gt;"0",TRIM(M130)="")+AND(I130&lt;&gt;"",I130&amp;""&lt;&gt;"0",TRIM(N130)="")+AND(J130&lt;&gt;"",J130&amp;""&lt;&gt;"0",TRIM(O130)=""))&gt;0,"Add evidence","Complete")))</f>
        <v/>
      </c>
      <c r="Z130" s="24" t="inlineStr">
        <is>
          <t>7313</t>
        </is>
      </c>
      <c r="AA130" s="24" t="inlineStr">
        <is>
          <t>Jewellery and Precision Metal Workers</t>
        </is>
      </c>
      <c r="AB130" s="24" t="inlineStr">
        <is>
          <t>731</t>
        </is>
      </c>
      <c r="AC130" s="24" t="inlineStr">
        <is>
          <t>Handicraft Workers</t>
        </is>
      </c>
      <c r="AD130" s="24" t="n">
        <v>7</v>
      </c>
      <c r="AE130" s="24" t="inlineStr">
        <is>
          <t>Craft and Related Trades Workers</t>
        </is>
      </c>
      <c r="AF130" s="24" t="inlineStr">
        <is>
          <t>2</t>
        </is>
      </c>
      <c r="AG130" s="24" t="inlineStr">
        <is>
          <t>7313.30</t>
        </is>
      </c>
      <c r="AH130" s="24" t="inlineStr">
        <is>
          <t>G&amp;J/Q0808</t>
        </is>
      </c>
      <c r="AI130" s="24" t="inlineStr">
        <is>
          <t>3</t>
        </is>
      </c>
    </row>
    <row r="131" ht="32.4" customHeight="1">
      <c r="A131" s="24" t="n">
        <v>129</v>
      </c>
      <c r="B131" s="24" t="inlineStr">
        <is>
          <t>7313.0804</t>
        </is>
      </c>
      <c r="C131" s="24" t="inlineStr">
        <is>
          <t>Wax Tree Maker</t>
        </is>
      </c>
      <c r="D131" s="25" t="inlineStr">
        <is>
          <t>Wax tree maker works with different types of waxes, wax soldering machine and consumables in order to assemble wax pieces in a tree like structure.</t>
        </is>
      </c>
      <c r="E131" s="26" t="n"/>
      <c r="F131" s="26" t="n"/>
      <c r="G131" s="26" t="n"/>
      <c r="H131" s="26" t="n"/>
      <c r="I131" s="26" t="n"/>
      <c r="J131" s="26" t="n"/>
      <c r="K131" s="27" t="n"/>
      <c r="L131" s="27" t="n"/>
      <c r="M131" s="27" t="n"/>
      <c r="N131" s="27" t="n"/>
      <c r="O131" s="27" t="n"/>
      <c r="P131" s="26" t="n"/>
      <c r="Q131" s="26" t="n"/>
      <c r="R131" s="26" t="n"/>
      <c r="S131" s="26" t="n"/>
      <c r="T131" s="26" t="n"/>
      <c r="U131" s="26" t="n"/>
      <c r="V131" s="26" t="n"/>
      <c r="W131" s="26" t="n"/>
      <c r="X131" s="27" t="n"/>
      <c r="Y131" s="28">
        <f>IF(COUNTA(E131:J131,P131:W131)=0,"Not started",IF(COUNTA(E131:J131,P131:W131)&lt;14,"Incomplete",IF((AND(F131&lt;&gt;"",F131&amp;""&lt;&gt;"0",TRIM(K131)="")+AND(G131&lt;&gt;"",G131&amp;""&lt;&gt;"0",TRIM(L131)="")+AND(H131&lt;&gt;"",H131&amp;""&lt;&gt;"0",TRIM(M131)="")+AND(I131&lt;&gt;"",I131&amp;""&lt;&gt;"0",TRIM(N131)="")+AND(J131&lt;&gt;"",J131&amp;""&lt;&gt;"0",TRIM(O131)=""))&gt;0,"Add evidence","Complete")))</f>
        <v/>
      </c>
      <c r="Z131" s="24" t="inlineStr">
        <is>
          <t>7313</t>
        </is>
      </c>
      <c r="AA131" s="24" t="inlineStr">
        <is>
          <t>Jewellery and Precision Metal Workers</t>
        </is>
      </c>
      <c r="AB131" s="24" t="inlineStr">
        <is>
          <t>731</t>
        </is>
      </c>
      <c r="AC131" s="24" t="inlineStr">
        <is>
          <t>Handicraft Workers</t>
        </is>
      </c>
      <c r="AD131" s="24" t="n">
        <v>7</v>
      </c>
      <c r="AE131" s="24" t="inlineStr">
        <is>
          <t>Craft and Related Trades Workers</t>
        </is>
      </c>
      <c r="AF131" s="24" t="inlineStr">
        <is>
          <t>2</t>
        </is>
      </c>
      <c r="AG131" s="24" t="n"/>
      <c r="AH131" s="24" t="inlineStr">
        <is>
          <t>G&amp;J/Q2606</t>
        </is>
      </c>
      <c r="AI131" s="24" t="inlineStr">
        <is>
          <t>5</t>
        </is>
      </c>
    </row>
    <row r="132" ht="58.8" customHeight="1">
      <c r="A132" s="24" t="n">
        <v>130</v>
      </c>
      <c r="B132" s="24" t="inlineStr">
        <is>
          <t>7315.0100</t>
        </is>
      </c>
      <c r="C132" s="24" t="inlineStr">
        <is>
          <t>Blower, Glass</t>
        </is>
      </c>
      <c r="D132" s="25" t="inlineStr">
        <is>
          <t>Blower, Glass blows molten glass into shape by means of blowpipe. Receives blowpipe with molten glass from Blower Helper and shapes glass by blowing into and manipulating pipe or by blowing glass into shape of mould. May specialize in blowing any particular object and be designated accordingly such as BOTTLE BLOWER, BULB BLOWER, etc</t>
        </is>
      </c>
      <c r="E132" s="26" t="n"/>
      <c r="F132" s="26" t="n"/>
      <c r="G132" s="26" t="n"/>
      <c r="H132" s="26" t="n"/>
      <c r="I132" s="26" t="n"/>
      <c r="J132" s="26" t="n"/>
      <c r="K132" s="27" t="n"/>
      <c r="L132" s="27" t="n"/>
      <c r="M132" s="27" t="n"/>
      <c r="N132" s="27" t="n"/>
      <c r="O132" s="27" t="n"/>
      <c r="P132" s="26" t="n"/>
      <c r="Q132" s="26" t="n"/>
      <c r="R132" s="26" t="n"/>
      <c r="S132" s="26" t="n"/>
      <c r="T132" s="26" t="n"/>
      <c r="U132" s="26" t="n"/>
      <c r="V132" s="26" t="n"/>
      <c r="W132" s="26" t="n"/>
      <c r="X132" s="27" t="n"/>
      <c r="Y132" s="28">
        <f>IF(COUNTA(E132:J132,P132:W132)=0,"Not started",IF(COUNTA(E132:J132,P132:W132)&lt;14,"Incomplete",IF((AND(F132&lt;&gt;"",F132&amp;""&lt;&gt;"0",TRIM(K132)="")+AND(G132&lt;&gt;"",G132&amp;""&lt;&gt;"0",TRIM(L132)="")+AND(H132&lt;&gt;"",H132&amp;""&lt;&gt;"0",TRIM(M132)="")+AND(I132&lt;&gt;"",I132&amp;""&lt;&gt;"0",TRIM(N132)="")+AND(J132&lt;&gt;"",J132&amp;""&lt;&gt;"0",TRIM(O132)=""))&gt;0,"Add evidence","Complete")))</f>
        <v/>
      </c>
      <c r="Z132" s="24" t="inlineStr">
        <is>
          <t>7315</t>
        </is>
      </c>
      <c r="AA132" s="24" t="inlineStr">
        <is>
          <t>Glass Makers, Cutters, Grinders and Finishers</t>
        </is>
      </c>
      <c r="AB132" s="24" t="inlineStr">
        <is>
          <t>731</t>
        </is>
      </c>
      <c r="AC132" s="24" t="inlineStr">
        <is>
          <t>Handicraft Workers</t>
        </is>
      </c>
      <c r="AD132" s="24" t="n">
        <v>7</v>
      </c>
      <c r="AE132" s="24" t="inlineStr">
        <is>
          <t>Craft and Related Trades Workers</t>
        </is>
      </c>
      <c r="AF132" s="24" t="inlineStr">
        <is>
          <t>2</t>
        </is>
      </c>
      <c r="AG132" s="24" t="inlineStr">
        <is>
          <t>7322.10</t>
        </is>
      </c>
      <c r="AH132" s="24" t="n"/>
      <c r="AI132" s="24" t="n"/>
    </row>
    <row r="133" ht="32.4" customHeight="1">
      <c r="A133" s="24" t="n">
        <v>131</v>
      </c>
      <c r="B133" s="24" t="inlineStr">
        <is>
          <t>7318.1300</t>
        </is>
      </c>
      <c r="C133" s="24" t="inlineStr">
        <is>
          <t>Grader, Coir</t>
        </is>
      </c>
      <c r="D133" s="25" t="inlineStr">
        <is>
          <t>Grader, Coir sorts coir yarn according to grade. Examines thickness and colour hanks of coir yarn and separates them into lots accordingly.</t>
        </is>
      </c>
      <c r="E133" s="26" t="n"/>
      <c r="F133" s="26" t="n"/>
      <c r="G133" s="26" t="n"/>
      <c r="H133" s="26" t="n"/>
      <c r="I133" s="26" t="n"/>
      <c r="J133" s="26" t="n"/>
      <c r="K133" s="27" t="n"/>
      <c r="L133" s="27" t="n"/>
      <c r="M133" s="27" t="n"/>
      <c r="N133" s="27" t="n"/>
      <c r="O133" s="27" t="n"/>
      <c r="P133" s="26" t="n"/>
      <c r="Q133" s="26" t="n"/>
      <c r="R133" s="26" t="n"/>
      <c r="S133" s="26" t="n"/>
      <c r="T133" s="26" t="n"/>
      <c r="U133" s="26" t="n"/>
      <c r="V133" s="26" t="n"/>
      <c r="W133" s="26" t="n"/>
      <c r="X133" s="27" t="n"/>
      <c r="Y133" s="28">
        <f>IF(COUNTA(E133:J133,P133:W133)=0,"Not started",IF(COUNTA(E133:J133,P133:W133)&lt;14,"Incomplete",IF((AND(F133&lt;&gt;"",F133&amp;""&lt;&gt;"0",TRIM(K133)="")+AND(G133&lt;&gt;"",G133&amp;""&lt;&gt;"0",TRIM(L133)="")+AND(H133&lt;&gt;"",H133&amp;""&lt;&gt;"0",TRIM(M133)="")+AND(I133&lt;&gt;"",I133&amp;""&lt;&gt;"0",TRIM(N133)="")+AND(J133&lt;&gt;"",J133&amp;""&lt;&gt;"0",TRIM(O133)=""))&gt;0,"Add evidence","Complete")))</f>
        <v/>
      </c>
      <c r="Z133" s="24" t="inlineStr">
        <is>
          <t>7318</t>
        </is>
      </c>
      <c r="AA133" s="24" t="inlineStr">
        <is>
          <t>Handicraft Workers in Textiles, Leather and Related Materials</t>
        </is>
      </c>
      <c r="AB133" s="24" t="inlineStr">
        <is>
          <t>731</t>
        </is>
      </c>
      <c r="AC133" s="24" t="inlineStr">
        <is>
          <t>Handicraft Workers</t>
        </is>
      </c>
      <c r="AD133" s="24" t="n">
        <v>7</v>
      </c>
      <c r="AE133" s="24" t="inlineStr">
        <is>
          <t>Craft and Related Trades Workers</t>
        </is>
      </c>
      <c r="AF133" s="24" t="inlineStr">
        <is>
          <t>2</t>
        </is>
      </c>
      <c r="AG133" s="24" t="inlineStr">
        <is>
          <t>7431.18</t>
        </is>
      </c>
      <c r="AH133" s="24" t="n"/>
      <c r="AI133" s="24" t="n"/>
    </row>
    <row r="134" ht="124.8" customHeight="1">
      <c r="A134" s="24" t="n">
        <v>132</v>
      </c>
      <c r="B134" s="24" t="inlineStr">
        <is>
          <t>7318.2300</t>
        </is>
      </c>
      <c r="C134" s="24" t="inlineStr">
        <is>
          <t>Fibre Preparer, Coir</t>
        </is>
      </c>
      <c r="D134" s="25" t="inlineStr">
        <is>
          <t>Fibre Preparer Coir prepares fibre from coconut husks. Dumps coconut husks in convenient place in lake, covers them completely on top with strong net or palm leaves and places stones over dump to sink coconut husks under water. Keeps dump under water for specified period. Removes husks (now called retted husk) from water to open space to drain off water. Holds one small piece of retted husk on wooden block with one hand and beats it with iron or wooden rod with other to release fibres from husk. Pulls out outer cover of husk by hand. Continues beating till all fibres in husk are released. Spreads fibres in sun for drying. Collects dried fibre in one place, beats them with long thin stick; removes remnant of pith; if any and loosens and softens fibre. May spin coir yarn from fibre by hand or hand spinning wheel (charkha).</t>
        </is>
      </c>
      <c r="E134" s="26" t="n"/>
      <c r="F134" s="26" t="n"/>
      <c r="G134" s="26" t="n"/>
      <c r="H134" s="26" t="n"/>
      <c r="I134" s="26" t="n"/>
      <c r="J134" s="26" t="n"/>
      <c r="K134" s="27" t="n"/>
      <c r="L134" s="27" t="n"/>
      <c r="M134" s="27" t="n"/>
      <c r="N134" s="27" t="n"/>
      <c r="O134" s="27" t="n"/>
      <c r="P134" s="26" t="n"/>
      <c r="Q134" s="26" t="n"/>
      <c r="R134" s="26" t="n"/>
      <c r="S134" s="26" t="n"/>
      <c r="T134" s="26" t="n"/>
      <c r="U134" s="26" t="n"/>
      <c r="V134" s="26" t="n"/>
      <c r="W134" s="26" t="n"/>
      <c r="X134" s="27" t="n"/>
      <c r="Y134" s="28">
        <f>IF(COUNTA(E134:J134,P134:W134)=0,"Not started",IF(COUNTA(E134:J134,P134:W134)&lt;14,"Incomplete",IF((AND(F134&lt;&gt;"",F134&amp;""&lt;&gt;"0",TRIM(K134)="")+AND(G134&lt;&gt;"",G134&amp;""&lt;&gt;"0",TRIM(L134)="")+AND(H134&lt;&gt;"",H134&amp;""&lt;&gt;"0",TRIM(M134)="")+AND(I134&lt;&gt;"",I134&amp;""&lt;&gt;"0",TRIM(N134)="")+AND(J134&lt;&gt;"",J134&amp;""&lt;&gt;"0",TRIM(O134)=""))&gt;0,"Add evidence","Complete")))</f>
        <v/>
      </c>
      <c r="Z134" s="24" t="inlineStr">
        <is>
          <t>7318</t>
        </is>
      </c>
      <c r="AA134" s="24" t="inlineStr">
        <is>
          <t>Handicraft Workers in Textiles, Leather and Related Materials</t>
        </is>
      </c>
      <c r="AB134" s="24" t="inlineStr">
        <is>
          <t>731</t>
        </is>
      </c>
      <c r="AC134" s="24" t="inlineStr">
        <is>
          <t>Handicraft Workers</t>
        </is>
      </c>
      <c r="AD134" s="24" t="n">
        <v>7</v>
      </c>
      <c r="AE134" s="24" t="inlineStr">
        <is>
          <t>Craft and Related Trades Workers</t>
        </is>
      </c>
      <c r="AF134" s="24" t="inlineStr">
        <is>
          <t>2</t>
        </is>
      </c>
      <c r="AG134" s="24" t="inlineStr">
        <is>
          <t>7431.42</t>
        </is>
      </c>
      <c r="AH134" s="24" t="n"/>
      <c r="AI134" s="24" t="n"/>
    </row>
    <row r="135" ht="58.8" customHeight="1">
      <c r="A135" s="24" t="n">
        <v>133</v>
      </c>
      <c r="B135" s="24" t="inlineStr">
        <is>
          <t>7321.1100</t>
        </is>
      </c>
      <c r="C135" s="24" t="inlineStr">
        <is>
          <t>Router</t>
        </is>
      </c>
      <c r="D135" s="25" t="inlineStr">
        <is>
          <t>Router reduces level of non-type or image portions of mounted plate to make it non-printable. Clamps block on bed of routing machine, fixes needle to holder, adjusts its height, operates machine and regulates movement of needle which reduces level of portions of plate not required for printing.</t>
        </is>
      </c>
      <c r="E135" s="26" t="n"/>
      <c r="F135" s="26" t="n"/>
      <c r="G135" s="26" t="n"/>
      <c r="H135" s="26" t="n"/>
      <c r="I135" s="26" t="n"/>
      <c r="J135" s="26" t="n"/>
      <c r="K135" s="27" t="n"/>
      <c r="L135" s="27" t="n"/>
      <c r="M135" s="27" t="n"/>
      <c r="N135" s="27" t="n"/>
      <c r="O135" s="27" t="n"/>
      <c r="P135" s="26" t="n"/>
      <c r="Q135" s="26" t="n"/>
      <c r="R135" s="26" t="n"/>
      <c r="S135" s="26" t="n"/>
      <c r="T135" s="26" t="n"/>
      <c r="U135" s="26" t="n"/>
      <c r="V135" s="26" t="n"/>
      <c r="W135" s="26" t="n"/>
      <c r="X135" s="27" t="n"/>
      <c r="Y135" s="28">
        <f>IF(COUNTA(E135:J135,P135:W135)=0,"Not started",IF(COUNTA(E135:J135,P135:W135)&lt;14,"Incomplete",IF((AND(F135&lt;&gt;"",F135&amp;""&lt;&gt;"0",TRIM(K135)="")+AND(G135&lt;&gt;"",G135&amp;""&lt;&gt;"0",TRIM(L135)="")+AND(H135&lt;&gt;"",H135&amp;""&lt;&gt;"0",TRIM(M135)="")+AND(I135&lt;&gt;"",I135&amp;""&lt;&gt;"0",TRIM(N135)="")+AND(J135&lt;&gt;"",J135&amp;""&lt;&gt;"0",TRIM(O135)=""))&gt;0,"Add evidence","Complete")))</f>
        <v/>
      </c>
      <c r="Z135" s="24" t="inlineStr">
        <is>
          <t>7321</t>
        </is>
      </c>
      <c r="AA135" s="24" t="inlineStr">
        <is>
          <t>Pre-Press Technicians</t>
        </is>
      </c>
      <c r="AB135" s="24" t="inlineStr">
        <is>
          <t>732</t>
        </is>
      </c>
      <c r="AC135" s="24" t="inlineStr">
        <is>
          <t>Printing Trades Workers</t>
        </is>
      </c>
      <c r="AD135" s="24" t="n">
        <v>7</v>
      </c>
      <c r="AE135" s="24" t="inlineStr">
        <is>
          <t>Craft and Related Trades Workers</t>
        </is>
      </c>
      <c r="AF135" s="24" t="inlineStr">
        <is>
          <t>2</t>
        </is>
      </c>
      <c r="AG135" s="24" t="n"/>
      <c r="AH135" s="24" t="n"/>
      <c r="AI135" s="24" t="n"/>
    </row>
    <row r="136" ht="164.4" customHeight="1">
      <c r="A136" s="24" t="n">
        <v>134</v>
      </c>
      <c r="B136" s="24" t="inlineStr">
        <is>
          <t>7322.2000</t>
        </is>
      </c>
      <c r="C136" s="24" t="inlineStr">
        <is>
          <t>Machine Man, Rotary Printing</t>
        </is>
      </c>
      <c r="D136" s="25" t="inlineStr">
        <is>
          <t>Machine Man, Rotary Printing; Machine Minder, Rotary Printing; Rotary Operator, Printing sets and operates rotary printing machine that prints on continuous roll of paper by means of stereotype plates locked in a revolving cylinder. Cleans inking rollers and oils machine; fills ink fountains and regulates flow of ink on inking rollers; locks printing plates in position on cylinders. Supervises loading of paper rolls on machine; threads paper through machine guides and rollers; adjusts rollers and paper folding and cutting mechanism; makes trial run; checks legibility and uniformity of printing, regulates speed and makes further adjustments as necessary, restarts press and runs it to full speed; checks printed copies at regular intervals and ensures that printing, folding and cutting proceed correctly; re-threads paper if web breaks; stops press when required number of copies have been printed, and removes plates. Keeps record of production. May file and grind cutting blades. May load supply rolls of paper in press at beginning and during run. May do minor repairs.</t>
        </is>
      </c>
      <c r="E136" s="26" t="n"/>
      <c r="F136" s="26" t="n"/>
      <c r="G136" s="26" t="n"/>
      <c r="H136" s="26" t="n"/>
      <c r="I136" s="26" t="n"/>
      <c r="J136" s="26" t="n"/>
      <c r="K136" s="27" t="n"/>
      <c r="L136" s="27" t="n"/>
      <c r="M136" s="27" t="n"/>
      <c r="N136" s="27" t="n"/>
      <c r="O136" s="27" t="n"/>
      <c r="P136" s="26" t="n"/>
      <c r="Q136" s="26" t="n"/>
      <c r="R136" s="26" t="n"/>
      <c r="S136" s="26" t="n"/>
      <c r="T136" s="26" t="n"/>
      <c r="U136" s="26" t="n"/>
      <c r="V136" s="26" t="n"/>
      <c r="W136" s="26" t="n"/>
      <c r="X136" s="27" t="n"/>
      <c r="Y136" s="28">
        <f>IF(COUNTA(E136:J136,P136:W136)=0,"Not started",IF(COUNTA(E136:J136,P136:W136)&lt;14,"Incomplete",IF((AND(F136&lt;&gt;"",F136&amp;""&lt;&gt;"0",TRIM(K136)="")+AND(G136&lt;&gt;"",G136&amp;""&lt;&gt;"0",TRIM(L136)="")+AND(H136&lt;&gt;"",H136&amp;""&lt;&gt;"0",TRIM(M136)="")+AND(I136&lt;&gt;"",I136&amp;""&lt;&gt;"0",TRIM(N136)="")+AND(J136&lt;&gt;"",J136&amp;""&lt;&gt;"0",TRIM(O136)=""))&gt;0,"Add evidence","Complete")))</f>
        <v/>
      </c>
      <c r="Z136" s="24" t="inlineStr">
        <is>
          <t>7322</t>
        </is>
      </c>
      <c r="AA136" s="24" t="inlineStr">
        <is>
          <t>Printers</t>
        </is>
      </c>
      <c r="AB136" s="24" t="inlineStr">
        <is>
          <t>732</t>
        </is>
      </c>
      <c r="AC136" s="24" t="inlineStr">
        <is>
          <t>Printing Trades Workers</t>
        </is>
      </c>
      <c r="AD136" s="24" t="n">
        <v>7</v>
      </c>
      <c r="AE136" s="24" t="inlineStr">
        <is>
          <t>Craft and Related Trades Workers</t>
        </is>
      </c>
      <c r="AF136" s="24" t="inlineStr">
        <is>
          <t>2</t>
        </is>
      </c>
      <c r="AG136" s="24" t="inlineStr">
        <is>
          <t>8251.40</t>
        </is>
      </c>
      <c r="AH136" s="24" t="n"/>
      <c r="AI136" s="24" t="n"/>
    </row>
    <row r="137" ht="85.19999999999999" customHeight="1">
      <c r="A137" s="24" t="n">
        <v>135</v>
      </c>
      <c r="B137" s="24" t="inlineStr">
        <is>
          <t>7411.0102</t>
        </is>
      </c>
      <c r="C137" s="24" t="inlineStr">
        <is>
          <t>CCTV Installation Technician</t>
        </is>
      </c>
      <c r="D137" s="25" t="inlineStr">
        <is>
          <t>Access Controls Installation Technician: Also called ‘Access Control Device Installer’, the Access Control Installation Technician provides after sale support services for access control devices and systems such as point of sale scanners, finger print or iris scan. The individual at work is responsible for installing the access control system at the customer’s premises. The individual undertakes site assessment, installs the hardware and integrates the system to meet customer’s requirement.</t>
        </is>
      </c>
      <c r="E137" s="26" t="n"/>
      <c r="F137" s="26" t="n"/>
      <c r="G137" s="26" t="n"/>
      <c r="H137" s="26" t="n"/>
      <c r="I137" s="26" t="n"/>
      <c r="J137" s="26" t="n"/>
      <c r="K137" s="27" t="n"/>
      <c r="L137" s="27" t="n"/>
      <c r="M137" s="27" t="n"/>
      <c r="N137" s="27" t="n"/>
      <c r="O137" s="27" t="n"/>
      <c r="P137" s="26" t="n"/>
      <c r="Q137" s="26" t="n"/>
      <c r="R137" s="26" t="n"/>
      <c r="S137" s="26" t="n"/>
      <c r="T137" s="26" t="n"/>
      <c r="U137" s="26" t="n"/>
      <c r="V137" s="26" t="n"/>
      <c r="W137" s="26" t="n"/>
      <c r="X137" s="27" t="n"/>
      <c r="Y137" s="28">
        <f>IF(COUNTA(E137:J137,P137:W137)=0,"Not started",IF(COUNTA(E137:J137,P137:W137)&lt;14,"Incomplete",IF((AND(F137&lt;&gt;"",F137&amp;""&lt;&gt;"0",TRIM(K137)="")+AND(G137&lt;&gt;"",G137&amp;""&lt;&gt;"0",TRIM(L137)="")+AND(H137&lt;&gt;"",H137&amp;""&lt;&gt;"0",TRIM(M137)="")+AND(I137&lt;&gt;"",I137&amp;""&lt;&gt;"0",TRIM(N137)="")+AND(J137&lt;&gt;"",J137&amp;""&lt;&gt;"0",TRIM(O137)=""))&gt;0,"Add evidence","Complete")))</f>
        <v/>
      </c>
      <c r="Z137" s="24" t="inlineStr">
        <is>
          <t>7411</t>
        </is>
      </c>
      <c r="AA137" s="24" t="inlineStr">
        <is>
          <t>Building and Related Electricians</t>
        </is>
      </c>
      <c r="AB137" s="24" t="inlineStr">
        <is>
          <t>741</t>
        </is>
      </c>
      <c r="AC137" s="24" t="inlineStr">
        <is>
          <t>Electrical Equipment Installers and Repairers</t>
        </is>
      </c>
      <c r="AD137" s="24" t="n">
        <v>7</v>
      </c>
      <c r="AE137" s="24" t="inlineStr">
        <is>
          <t>Craft and Related Trades Workers</t>
        </is>
      </c>
      <c r="AF137" s="24" t="inlineStr">
        <is>
          <t>2</t>
        </is>
      </c>
      <c r="AG137" s="24" t="n"/>
      <c r="AH137" s="24" t="inlineStr">
        <is>
          <t>ELE/Q4605</t>
        </is>
      </c>
      <c r="AI137" s="24" t="inlineStr">
        <is>
          <t>4</t>
        </is>
      </c>
    </row>
    <row r="138" ht="164.4" customHeight="1">
      <c r="A138" s="24" t="n">
        <v>136</v>
      </c>
      <c r="B138" s="24" t="inlineStr">
        <is>
          <t>7412.0701</t>
        </is>
      </c>
      <c r="C138" s="24" t="inlineStr">
        <is>
          <t>Electrician, Automobile</t>
        </is>
      </c>
      <c r="D138" s="25" t="inlineStr">
        <is>
          <t>Electrician, Automobile installs, repairs replaces and overhauls wiring, starters, generators, distributors and other electrical equipment of motor vehicles. Examines vehicle battery, checks voltage and specific gravity using special equipment such as voltmeter hydrometer, heavy discharge tester, etc. and ensures that battery is in good condition. Checks vehicle wiring, locates faults and rectifies defects by replacing damaged wire or connecting ends with insulation tape. Starts engine to check whether alternator is charging correctly, and if distributor, condenser coil and cut out are functioning properly. Estimates nature of defects and reports components to be replaced or repaired. Dismantles and repairs electrical units and components such as generator, distributor etc. where required. Replaces repaired kit or unit in vehicle and connects it with battery. Conducts thorough examination of various electrical fittings such as lights, panel indicators, fuel pumps, etc. and rectifies defects. Checks condition and makes necessary adjustments. May do armature winding. May drive vehicles on road. May charge batteries.</t>
        </is>
      </c>
      <c r="E138" s="26" t="n"/>
      <c r="F138" s="26" t="n"/>
      <c r="G138" s="26" t="n"/>
      <c r="H138" s="26" t="n"/>
      <c r="I138" s="26" t="n"/>
      <c r="J138" s="26" t="n"/>
      <c r="K138" s="27" t="n"/>
      <c r="L138" s="27" t="n"/>
      <c r="M138" s="27" t="n"/>
      <c r="N138" s="27" t="n"/>
      <c r="O138" s="27" t="n"/>
      <c r="P138" s="26" t="n"/>
      <c r="Q138" s="26" t="n"/>
      <c r="R138" s="26" t="n"/>
      <c r="S138" s="26" t="n"/>
      <c r="T138" s="26" t="n"/>
      <c r="U138" s="26" t="n"/>
      <c r="V138" s="26" t="n"/>
      <c r="W138" s="26" t="n"/>
      <c r="X138" s="27" t="n"/>
      <c r="Y138" s="28">
        <f>IF(COUNTA(E138:J138,P138:W138)=0,"Not started",IF(COUNTA(E138:J138,P138:W138)&lt;14,"Incomplete",IF((AND(F138&lt;&gt;"",F138&amp;""&lt;&gt;"0",TRIM(K138)="")+AND(G138&lt;&gt;"",G138&amp;""&lt;&gt;"0",TRIM(L138)="")+AND(H138&lt;&gt;"",H138&amp;""&lt;&gt;"0",TRIM(M138)="")+AND(I138&lt;&gt;"",I138&amp;""&lt;&gt;"0",TRIM(N138)="")+AND(J138&lt;&gt;"",J138&amp;""&lt;&gt;"0",TRIM(O138)=""))&gt;0,"Add evidence","Complete")))</f>
        <v/>
      </c>
      <c r="Z138" s="24" t="inlineStr">
        <is>
          <t>7412</t>
        </is>
      </c>
      <c r="AA138" s="24" t="inlineStr">
        <is>
          <t>Electrical Mechanics and Fitters</t>
        </is>
      </c>
      <c r="AB138" s="24" t="inlineStr">
        <is>
          <t>741</t>
        </is>
      </c>
      <c r="AC138" s="24" t="inlineStr">
        <is>
          <t>Electrical Equipment Installers and Repairers</t>
        </is>
      </c>
      <c r="AD138" s="24" t="n">
        <v>7</v>
      </c>
      <c r="AE138" s="24" t="inlineStr">
        <is>
          <t>Craft and Related Trades Workers</t>
        </is>
      </c>
      <c r="AF138" s="24" t="inlineStr">
        <is>
          <t>2</t>
        </is>
      </c>
      <c r="AG138" s="24" t="inlineStr">
        <is>
          <t>7241.70</t>
        </is>
      </c>
      <c r="AH138" s="24" t="inlineStr">
        <is>
          <t>ASC/Q1408</t>
        </is>
      </c>
      <c r="AI138" s="24" t="inlineStr">
        <is>
          <t>4</t>
        </is>
      </c>
    </row>
    <row r="139" ht="85.19999999999999" customHeight="1">
      <c r="A139" s="24" t="n">
        <v>137</v>
      </c>
      <c r="B139" s="24" t="inlineStr">
        <is>
          <t>7419.0300</t>
        </is>
      </c>
      <c r="C139" s="24" t="inlineStr">
        <is>
          <t>Wiring Inspector and Bank Tester (Telephone Equipment Manufacturing)</t>
        </is>
      </c>
      <c r="D139" s="25" t="inlineStr">
        <is>
          <t>Wiring Inspector and Bank Tester (Telephone Equipment Manufacturing) tests operational efficiency of switch wiring, bank multiple wiring, rack wiring and cables, and gets defects removed. Checks wiring for colours and gauges to ensure conformity with prescribed specifications. Tests wiring for continuity and leakage using buzzar and megger (testing instruments). Records defects in charts for rectification. Tests and approves wiring for conformity with prescribed specifications after removal of wiring defects and other faults.</t>
        </is>
      </c>
      <c r="E139" s="26" t="n"/>
      <c r="F139" s="26" t="n"/>
      <c r="G139" s="26" t="n"/>
      <c r="H139" s="26" t="n"/>
      <c r="I139" s="26" t="n"/>
      <c r="J139" s="26" t="n"/>
      <c r="K139" s="27" t="n"/>
      <c r="L139" s="27" t="n"/>
      <c r="M139" s="27" t="n"/>
      <c r="N139" s="27" t="n"/>
      <c r="O139" s="27" t="n"/>
      <c r="P139" s="26" t="n"/>
      <c r="Q139" s="26" t="n"/>
      <c r="R139" s="26" t="n"/>
      <c r="S139" s="26" t="n"/>
      <c r="T139" s="26" t="n"/>
      <c r="U139" s="26" t="n"/>
      <c r="V139" s="26" t="n"/>
      <c r="W139" s="26" t="n"/>
      <c r="X139" s="27" t="n"/>
      <c r="Y139" s="28">
        <f>IF(COUNTA(E139:J139,P139:W139)=0,"Not started",IF(COUNTA(E139:J139,P139:W139)&lt;14,"Incomplete",IF((AND(F139&lt;&gt;"",F139&amp;""&lt;&gt;"0",TRIM(K139)="")+AND(G139&lt;&gt;"",G139&amp;""&lt;&gt;"0",TRIM(L139)="")+AND(H139&lt;&gt;"",H139&amp;""&lt;&gt;"0",TRIM(M139)="")+AND(I139&lt;&gt;"",I139&amp;""&lt;&gt;"0",TRIM(N139)="")+AND(J139&lt;&gt;"",J139&amp;""&lt;&gt;"0",TRIM(O139)=""))&gt;0,"Add evidence","Complete")))</f>
        <v/>
      </c>
      <c r="Z139" s="24" t="inlineStr">
        <is>
          <t>7419</t>
        </is>
      </c>
      <c r="AA139" s="24" t="inlineStr">
        <is>
          <t>Electrical and Electronic Equipment Mechanics and Fitters and Related Workers Not Elsewhere Classified</t>
        </is>
      </c>
      <c r="AB139" s="24" t="inlineStr">
        <is>
          <t>741</t>
        </is>
      </c>
      <c r="AC139" s="24" t="inlineStr">
        <is>
          <t>Electrical Equipment Installers and Repairers</t>
        </is>
      </c>
      <c r="AD139" s="24" t="n">
        <v>7</v>
      </c>
      <c r="AE139" s="24" t="inlineStr">
        <is>
          <t>Craft and Related Trades Workers</t>
        </is>
      </c>
      <c r="AF139" s="24" t="inlineStr">
        <is>
          <t>2</t>
        </is>
      </c>
      <c r="AG139" s="24" t="inlineStr">
        <is>
          <t>7249.30</t>
        </is>
      </c>
      <c r="AH139" s="24" t="n"/>
      <c r="AI139" s="24" t="n"/>
    </row>
    <row r="140" ht="72" customHeight="1">
      <c r="A140" s="24" t="n">
        <v>138</v>
      </c>
      <c r="B140" s="24" t="inlineStr">
        <is>
          <t>7421.0801</t>
        </is>
      </c>
      <c r="C140" s="24" t="inlineStr">
        <is>
          <t>Field Technician: UPS and Inverter</t>
        </is>
      </c>
      <c r="D140" s="25" t="inlineStr">
        <is>
          <t>Field Technician: UPS and Inverter is also called, ‘UPS repair Technician’, this is an after sales service job for installing and providing support to customers of different types of UPS and inverters. The individual at work installs the newly purchased UPS or inverter. The individual also and interacts with customers to diagnose problems in them, assesses possible causes, rectifies faults or replaces faulty modules or recommends factory repairs for bigger faults.</t>
        </is>
      </c>
      <c r="E140" s="26" t="n"/>
      <c r="F140" s="26" t="n"/>
      <c r="G140" s="26" t="n"/>
      <c r="H140" s="26" t="n"/>
      <c r="I140" s="26" t="n"/>
      <c r="J140" s="26" t="n"/>
      <c r="K140" s="27" t="n"/>
      <c r="L140" s="27" t="n"/>
      <c r="M140" s="27" t="n"/>
      <c r="N140" s="27" t="n"/>
      <c r="O140" s="27" t="n"/>
      <c r="P140" s="26" t="n"/>
      <c r="Q140" s="26" t="n"/>
      <c r="R140" s="26" t="n"/>
      <c r="S140" s="26" t="n"/>
      <c r="T140" s="26" t="n"/>
      <c r="U140" s="26" t="n"/>
      <c r="V140" s="26" t="n"/>
      <c r="W140" s="26" t="n"/>
      <c r="X140" s="27" t="n"/>
      <c r="Y140" s="28">
        <f>IF(COUNTA(E140:J140,P140:W140)=0,"Not started",IF(COUNTA(E140:J140,P140:W140)&lt;14,"Incomplete",IF((AND(F140&lt;&gt;"",F140&amp;""&lt;&gt;"0",TRIM(K140)="")+AND(G140&lt;&gt;"",G140&amp;""&lt;&gt;"0",TRIM(L140)="")+AND(H140&lt;&gt;"",H140&amp;""&lt;&gt;"0",TRIM(M140)="")+AND(I140&lt;&gt;"",I140&amp;""&lt;&gt;"0",TRIM(N140)="")+AND(J140&lt;&gt;"",J140&amp;""&lt;&gt;"0",TRIM(O140)=""))&gt;0,"Add evidence","Complete")))</f>
        <v/>
      </c>
      <c r="Z140" s="24" t="inlineStr">
        <is>
          <t>7421</t>
        </is>
      </c>
      <c r="AA140" s="24" t="inlineStr">
        <is>
          <t>Electronic Mechanics and Servicers</t>
        </is>
      </c>
      <c r="AB140" s="24" t="inlineStr">
        <is>
          <t>742</t>
        </is>
      </c>
      <c r="AC140" s="24" t="inlineStr">
        <is>
          <t>Electronics and Telecommunication Installers and Repairers</t>
        </is>
      </c>
      <c r="AD140" s="24" t="n">
        <v>7</v>
      </c>
      <c r="AE140" s="24" t="inlineStr">
        <is>
          <t>Craft and Related Trades Workers</t>
        </is>
      </c>
      <c r="AF140" s="24" t="inlineStr">
        <is>
          <t>2</t>
        </is>
      </c>
      <c r="AG140" s="24" t="n"/>
      <c r="AH140" s="24" t="inlineStr">
        <is>
          <t>ELE/Q7201</t>
        </is>
      </c>
      <c r="AI140" s="24" t="inlineStr">
        <is>
          <t>4</t>
        </is>
      </c>
    </row>
    <row r="141" ht="72" customHeight="1">
      <c r="A141" s="24" t="n">
        <v>139</v>
      </c>
      <c r="B141" s="24" t="inlineStr">
        <is>
          <t>7421.0901</t>
        </is>
      </c>
      <c r="C141" s="24" t="inlineStr">
        <is>
          <t>Field Technician: Digital Camera</t>
        </is>
      </c>
      <c r="D141" s="25" t="inlineStr">
        <is>
          <t>Field Technician: Digital Camera is also called, ‘Camera Repair Technician’, the Digital Camera Field Technician provides after sales service to camera buyers. The individual at work interacts with customers to diagnose the problem to assess possible causes of malfunction. Once the problem and causes have been identified, the individual rectifies minor problems or replaces faulty modules for failed parts.</t>
        </is>
      </c>
      <c r="E141" s="26" t="n"/>
      <c r="F141" s="26" t="n"/>
      <c r="G141" s="26" t="n"/>
      <c r="H141" s="26" t="n"/>
      <c r="I141" s="26" t="n"/>
      <c r="J141" s="26" t="n"/>
      <c r="K141" s="27" t="n"/>
      <c r="L141" s="27" t="n"/>
      <c r="M141" s="27" t="n"/>
      <c r="N141" s="27" t="n"/>
      <c r="O141" s="27" t="n"/>
      <c r="P141" s="26" t="n"/>
      <c r="Q141" s="26" t="n"/>
      <c r="R141" s="26" t="n"/>
      <c r="S141" s="26" t="n"/>
      <c r="T141" s="26" t="n"/>
      <c r="U141" s="26" t="n"/>
      <c r="V141" s="26" t="n"/>
      <c r="W141" s="26" t="n"/>
      <c r="X141" s="27" t="n"/>
      <c r="Y141" s="28">
        <f>IF(COUNTA(E141:J141,P141:W141)=0,"Not started",IF(COUNTA(E141:J141,P141:W141)&lt;14,"Incomplete",IF((AND(F141&lt;&gt;"",F141&amp;""&lt;&gt;"0",TRIM(K141)="")+AND(G141&lt;&gt;"",G141&amp;""&lt;&gt;"0",TRIM(L141)="")+AND(H141&lt;&gt;"",H141&amp;""&lt;&gt;"0",TRIM(M141)="")+AND(I141&lt;&gt;"",I141&amp;""&lt;&gt;"0",TRIM(N141)="")+AND(J141&lt;&gt;"",J141&amp;""&lt;&gt;"0",TRIM(O141)=""))&gt;0,"Add evidence","Complete")))</f>
        <v/>
      </c>
      <c r="Z141" s="24" t="inlineStr">
        <is>
          <t>7421</t>
        </is>
      </c>
      <c r="AA141" s="24" t="inlineStr">
        <is>
          <t>Electronic Mechanics and Servicers</t>
        </is>
      </c>
      <c r="AB141" s="24" t="inlineStr">
        <is>
          <t>742</t>
        </is>
      </c>
      <c r="AC141" s="24" t="inlineStr">
        <is>
          <t>Electronics and Telecommunication Installers and Repairers</t>
        </is>
      </c>
      <c r="AD141" s="24" t="n">
        <v>7</v>
      </c>
      <c r="AE141" s="24" t="inlineStr">
        <is>
          <t>Craft and Related Trades Workers</t>
        </is>
      </c>
      <c r="AF141" s="24" t="inlineStr">
        <is>
          <t>2</t>
        </is>
      </c>
      <c r="AG141" s="24" t="n"/>
      <c r="AH141" s="24" t="inlineStr">
        <is>
          <t>ELE/Q3107</t>
        </is>
      </c>
      <c r="AI141" s="24" t="inlineStr">
        <is>
          <t>4</t>
        </is>
      </c>
    </row>
    <row r="142" ht="32.4" customHeight="1">
      <c r="A142" s="24" t="n">
        <v>140</v>
      </c>
      <c r="B142" s="24" t="inlineStr">
        <is>
          <t>7422.0203</t>
        </is>
      </c>
      <c r="C142" s="24" t="inlineStr">
        <is>
          <t>Handset Repair Engineer (Level II)</t>
        </is>
      </c>
      <c r="D142" s="25" t="inlineStr">
        <is>
          <t>Handset Repair Engineer is responsible for performing handset repair including hardware and software components and testing the handset for adequacy post repair.</t>
        </is>
      </c>
      <c r="E142" s="26" t="n"/>
      <c r="F142" s="26" t="n"/>
      <c r="G142" s="26" t="n"/>
      <c r="H142" s="26" t="n"/>
      <c r="I142" s="26" t="n"/>
      <c r="J142" s="26" t="n"/>
      <c r="K142" s="27" t="n"/>
      <c r="L142" s="27" t="n"/>
      <c r="M142" s="27" t="n"/>
      <c r="N142" s="27" t="n"/>
      <c r="O142" s="27" t="n"/>
      <c r="P142" s="26" t="n"/>
      <c r="Q142" s="26" t="n"/>
      <c r="R142" s="26" t="n"/>
      <c r="S142" s="26" t="n"/>
      <c r="T142" s="26" t="n"/>
      <c r="U142" s="26" t="n"/>
      <c r="V142" s="26" t="n"/>
      <c r="W142" s="26" t="n"/>
      <c r="X142" s="27" t="n"/>
      <c r="Y142" s="28">
        <f>IF(COUNTA(E142:J142,P142:W142)=0,"Not started",IF(COUNTA(E142:J142,P142:W142)&lt;14,"Incomplete",IF((AND(F142&lt;&gt;"",F142&amp;""&lt;&gt;"0",TRIM(K142)="")+AND(G142&lt;&gt;"",G142&amp;""&lt;&gt;"0",TRIM(L142)="")+AND(H142&lt;&gt;"",H142&amp;""&lt;&gt;"0",TRIM(M142)="")+AND(I142&lt;&gt;"",I142&amp;""&lt;&gt;"0",TRIM(N142)="")+AND(J142&lt;&gt;"",J142&amp;""&lt;&gt;"0",TRIM(O142)=""))&gt;0,"Add evidence","Complete")))</f>
        <v/>
      </c>
      <c r="Z142" s="24" t="inlineStr">
        <is>
          <t>7422</t>
        </is>
      </c>
      <c r="AA142" s="24" t="inlineStr">
        <is>
          <t>Information and Communications Technology Installers and Servicers</t>
        </is>
      </c>
      <c r="AB142" s="24" t="inlineStr">
        <is>
          <t>742</t>
        </is>
      </c>
      <c r="AC142" s="24" t="inlineStr">
        <is>
          <t>Electronics and Telecommunication Installers and Repairers</t>
        </is>
      </c>
      <c r="AD142" s="24" t="n">
        <v>7</v>
      </c>
      <c r="AE142" s="24" t="inlineStr">
        <is>
          <t>Craft and Related Trades Workers</t>
        </is>
      </c>
      <c r="AF142" s="24" t="inlineStr">
        <is>
          <t>2</t>
        </is>
      </c>
      <c r="AG142" s="24" t="n"/>
      <c r="AH142" s="24" t="inlineStr">
        <is>
          <t>TEL/Q2201</t>
        </is>
      </c>
      <c r="AI142" s="24" t="inlineStr">
        <is>
          <t>4</t>
        </is>
      </c>
    </row>
    <row r="143" ht="124.8" customHeight="1">
      <c r="A143" s="24" t="n">
        <v>141</v>
      </c>
      <c r="B143" s="24" t="inlineStr">
        <is>
          <t>7422.0400</t>
        </is>
      </c>
      <c r="C143" s="24" t="inlineStr">
        <is>
          <t>Lineman, Telephone</t>
        </is>
      </c>
      <c r="D143" s="25" t="inlineStr">
        <is>
          <t>Lineman, Telephone and Telegraph installs, repairs and maintains telephone and telegraph lines, telephone instruments, key boards etc. in his allotted section. Erects poles manually for telephone and telegraph lines, ensuing proper spacing, alignment, stability etc., Climbs erected poles to fix insulators, lightning arrestors, etc. at proper levels and positions. Draws and signs wires on poles as directed by Sub-Inspector Telephone and Telegraph allowing required length for expansion and contraction of wires. Installs telephone equipment and key boards at subscriber's premises, checks them periodically and on breakdowns, locates faults and removes defects by repairs or replacement of faulty components and wiring. Maintains lines within allotted section free of faults. May repair and lay underground cables.</t>
        </is>
      </c>
      <c r="E143" s="26" t="n"/>
      <c r="F143" s="26" t="n"/>
      <c r="G143" s="26" t="n"/>
      <c r="H143" s="26" t="n"/>
      <c r="I143" s="26" t="n"/>
      <c r="J143" s="26" t="n"/>
      <c r="K143" s="27" t="n"/>
      <c r="L143" s="27" t="n"/>
      <c r="M143" s="27" t="n"/>
      <c r="N143" s="27" t="n"/>
      <c r="O143" s="27" t="n"/>
      <c r="P143" s="26" t="n"/>
      <c r="Q143" s="26" t="n"/>
      <c r="R143" s="26" t="n"/>
      <c r="S143" s="26" t="n"/>
      <c r="T143" s="26" t="n"/>
      <c r="U143" s="26" t="n"/>
      <c r="V143" s="26" t="n"/>
      <c r="W143" s="26" t="n"/>
      <c r="X143" s="27" t="n"/>
      <c r="Y143" s="28">
        <f>IF(COUNTA(E143:J143,P143:W143)=0,"Not started",IF(COUNTA(E143:J143,P143:W143)&lt;14,"Incomplete",IF((AND(F143&lt;&gt;"",F143&amp;""&lt;&gt;"0",TRIM(K143)="")+AND(G143&lt;&gt;"",G143&amp;""&lt;&gt;"0",TRIM(L143)="")+AND(H143&lt;&gt;"",H143&amp;""&lt;&gt;"0",TRIM(M143)="")+AND(I143&lt;&gt;"",I143&amp;""&lt;&gt;"0",TRIM(N143)="")+AND(J143&lt;&gt;"",J143&amp;""&lt;&gt;"0",TRIM(O143)=""))&gt;0,"Add evidence","Complete")))</f>
        <v/>
      </c>
      <c r="Z143" s="24" t="inlineStr">
        <is>
          <t>7422</t>
        </is>
      </c>
      <c r="AA143" s="24" t="inlineStr">
        <is>
          <t>Information and Communications Technology Installers and Servicers</t>
        </is>
      </c>
      <c r="AB143" s="24" t="inlineStr">
        <is>
          <t>742</t>
        </is>
      </c>
      <c r="AC143" s="24" t="inlineStr">
        <is>
          <t>Electronics and Telecommunication Installers and Repairers</t>
        </is>
      </c>
      <c r="AD143" s="24" t="n">
        <v>7</v>
      </c>
      <c r="AE143" s="24" t="inlineStr">
        <is>
          <t>Craft and Related Trades Workers</t>
        </is>
      </c>
      <c r="AF143" s="24" t="inlineStr">
        <is>
          <t>2</t>
        </is>
      </c>
      <c r="AG143" s="24" t="inlineStr">
        <is>
          <t>7244.40</t>
        </is>
      </c>
      <c r="AH143" s="24" t="n"/>
      <c r="AI143" s="24" t="n"/>
    </row>
    <row r="144" ht="138" customHeight="1">
      <c r="A144" s="24" t="n">
        <v>142</v>
      </c>
      <c r="B144" s="24" t="inlineStr">
        <is>
          <t>7422.1200</t>
        </is>
      </c>
      <c r="C144" s="24" t="inlineStr">
        <is>
          <t>Cable Television Installer</t>
        </is>
      </c>
      <c r="D144" s="25" t="inlineStr">
        <is>
          <t>Cable Television Installer installs cable television cables and equipment on customer's premises, using electrician's tools and test equipment: Measures television signal strength at utility pole, using electronic test equipment. Computes impedance of wire from pole to house to determine additional resistance needed for reducing signal to desired level. Installs terminal boxes and strings lead-in wires, using electrician's tools. Connects television set to cable system and evaluates incoming signal. Adjusts and repairs cable system to ensure optimum reception. May collect installation fees and explain cable service operation to subscriber. May communicate with SUPERVISOR, using two-way radio or telephone, to receive instructions or technical advice and to report problems to be repaired. May report unauthorized use of cable system to SUPERVISOR. May clean and maintain tools, test equipment.</t>
        </is>
      </c>
      <c r="E144" s="26" t="n"/>
      <c r="F144" s="26" t="n"/>
      <c r="G144" s="26" t="n"/>
      <c r="H144" s="26" t="n"/>
      <c r="I144" s="26" t="n"/>
      <c r="J144" s="26" t="n"/>
      <c r="K144" s="27" t="n"/>
      <c r="L144" s="27" t="n"/>
      <c r="M144" s="27" t="n"/>
      <c r="N144" s="27" t="n"/>
      <c r="O144" s="27" t="n"/>
      <c r="P144" s="26" t="n"/>
      <c r="Q144" s="26" t="n"/>
      <c r="R144" s="26" t="n"/>
      <c r="S144" s="26" t="n"/>
      <c r="T144" s="26" t="n"/>
      <c r="U144" s="26" t="n"/>
      <c r="V144" s="26" t="n"/>
      <c r="W144" s="26" t="n"/>
      <c r="X144" s="27" t="n"/>
      <c r="Y144" s="28">
        <f>IF(COUNTA(E144:J144,P144:W144)=0,"Not started",IF(COUNTA(E144:J144,P144:W144)&lt;14,"Incomplete",IF((AND(F144&lt;&gt;"",F144&amp;""&lt;&gt;"0",TRIM(K144)="")+AND(G144&lt;&gt;"",G144&amp;""&lt;&gt;"0",TRIM(L144)="")+AND(H144&lt;&gt;"",H144&amp;""&lt;&gt;"0",TRIM(M144)="")+AND(I144&lt;&gt;"",I144&amp;""&lt;&gt;"0",TRIM(N144)="")+AND(J144&lt;&gt;"",J144&amp;""&lt;&gt;"0",TRIM(O144)=""))&gt;0,"Add evidence","Complete")))</f>
        <v/>
      </c>
      <c r="Z144" s="24" t="inlineStr">
        <is>
          <t>7422</t>
        </is>
      </c>
      <c r="AA144" s="24" t="inlineStr">
        <is>
          <t>Information and Communications Technology Installers and Servicers</t>
        </is>
      </c>
      <c r="AB144" s="24" t="inlineStr">
        <is>
          <t>742</t>
        </is>
      </c>
      <c r="AC144" s="24" t="inlineStr">
        <is>
          <t>Electronics and Telecommunication Installers and Repairers</t>
        </is>
      </c>
      <c r="AD144" s="24" t="n">
        <v>7</v>
      </c>
      <c r="AE144" s="24" t="inlineStr">
        <is>
          <t>Craft and Related Trades Workers</t>
        </is>
      </c>
      <c r="AF144" s="24" t="inlineStr">
        <is>
          <t>2</t>
        </is>
      </c>
      <c r="AG144" s="24" t="inlineStr">
        <is>
          <t>7243.45</t>
        </is>
      </c>
      <c r="AH144" s="24" t="n"/>
      <c r="AI144" s="24" t="n"/>
    </row>
    <row r="145" ht="85.19999999999999" customHeight="1">
      <c r="A145" s="24" t="n">
        <v>143</v>
      </c>
      <c r="B145" s="24" t="inlineStr">
        <is>
          <t>7422.1201</t>
        </is>
      </c>
      <c r="C145" s="24" t="inlineStr">
        <is>
          <t>Set Top Box Installer/Service Technician</t>
        </is>
      </c>
      <c r="D145" s="25" t="inlineStr">
        <is>
          <t>Set Top Box Technicians are required for installing/servicing of set top boxes for either DTH (Direct to Home) or DAS (Digital Addressable System) through Cable service providers. With the digitalization of this industry made mandatory, their role and requirement has become imperative for the industry. Set Top Box Technician is responsible for installing the set top box at client’s site and also addresses the first level complaints and servicing, he also co-ordinates with the technical team for activation of new connections.</t>
        </is>
      </c>
      <c r="E145" s="26" t="n"/>
      <c r="F145" s="26" t="n"/>
      <c r="G145" s="26" t="n"/>
      <c r="H145" s="26" t="n"/>
      <c r="I145" s="26" t="n"/>
      <c r="J145" s="26" t="n"/>
      <c r="K145" s="27" t="n"/>
      <c r="L145" s="27" t="n"/>
      <c r="M145" s="27" t="n"/>
      <c r="N145" s="27" t="n"/>
      <c r="O145" s="27" t="n"/>
      <c r="P145" s="26" t="n"/>
      <c r="Q145" s="26" t="n"/>
      <c r="R145" s="26" t="n"/>
      <c r="S145" s="26" t="n"/>
      <c r="T145" s="26" t="n"/>
      <c r="U145" s="26" t="n"/>
      <c r="V145" s="26" t="n"/>
      <c r="W145" s="26" t="n"/>
      <c r="X145" s="27" t="n"/>
      <c r="Y145" s="28">
        <f>IF(COUNTA(E145:J145,P145:W145)=0,"Not started",IF(COUNTA(E145:J145,P145:W145)&lt;14,"Incomplete",IF((AND(F145&lt;&gt;"",F145&amp;""&lt;&gt;"0",TRIM(K145)="")+AND(G145&lt;&gt;"",G145&amp;""&lt;&gt;"0",TRIM(L145)="")+AND(H145&lt;&gt;"",H145&amp;""&lt;&gt;"0",TRIM(M145)="")+AND(I145&lt;&gt;"",I145&amp;""&lt;&gt;"0",TRIM(N145)="")+AND(J145&lt;&gt;"",J145&amp;""&lt;&gt;"0",TRIM(O145)=""))&gt;0,"Add evidence","Complete")))</f>
        <v/>
      </c>
      <c r="Z145" s="24" t="inlineStr">
        <is>
          <t>7422</t>
        </is>
      </c>
      <c r="AA145" s="24" t="inlineStr">
        <is>
          <t>Information and Communications Technology Installers and Servicers</t>
        </is>
      </c>
      <c r="AB145" s="24" t="inlineStr">
        <is>
          <t>742</t>
        </is>
      </c>
      <c r="AC145" s="24" t="inlineStr">
        <is>
          <t>Electronics and Telecommunication Installers and Repairers</t>
        </is>
      </c>
      <c r="AD145" s="24" t="n">
        <v>7</v>
      </c>
      <c r="AE145" s="24" t="inlineStr">
        <is>
          <t>Craft and Related Trades Workers</t>
        </is>
      </c>
      <c r="AF145" s="24" t="inlineStr">
        <is>
          <t>2</t>
        </is>
      </c>
      <c r="AG145" s="24" t="n"/>
      <c r="AH145" s="24" t="inlineStr">
        <is>
          <t>ELE/Q8101</t>
        </is>
      </c>
      <c r="AI145" s="24" t="inlineStr">
        <is>
          <t>4</t>
        </is>
      </c>
    </row>
    <row r="146" ht="58.8" customHeight="1">
      <c r="A146" s="24" t="n">
        <v>144</v>
      </c>
      <c r="B146" s="24" t="inlineStr">
        <is>
          <t>7422.1203</t>
        </is>
      </c>
      <c r="C146" s="24" t="inlineStr">
        <is>
          <t>DAS Set-top Box Installer and Service Technician</t>
        </is>
      </c>
      <c r="D146" s="25" t="inlineStr">
        <is>
          <t>DAS Set-Top Box Installer and Service technician installs set-top boxes and provides after sales service for Digital Addressable System (DAS) type. The individual at work installs the set-top box at customers’ premises; addresses the field serviceable complaints and co-ordinates with the technical team for activation of new connections.</t>
        </is>
      </c>
      <c r="E146" s="26" t="n"/>
      <c r="F146" s="26" t="n"/>
      <c r="G146" s="26" t="n"/>
      <c r="H146" s="26" t="n"/>
      <c r="I146" s="26" t="n"/>
      <c r="J146" s="26" t="n"/>
      <c r="K146" s="27" t="n"/>
      <c r="L146" s="27" t="n"/>
      <c r="M146" s="27" t="n"/>
      <c r="N146" s="27" t="n"/>
      <c r="O146" s="27" t="n"/>
      <c r="P146" s="26" t="n"/>
      <c r="Q146" s="26" t="n"/>
      <c r="R146" s="26" t="n"/>
      <c r="S146" s="26" t="n"/>
      <c r="T146" s="26" t="n"/>
      <c r="U146" s="26" t="n"/>
      <c r="V146" s="26" t="n"/>
      <c r="W146" s="26" t="n"/>
      <c r="X146" s="27" t="n"/>
      <c r="Y146" s="28">
        <f>IF(COUNTA(E146:J146,P146:W146)=0,"Not started",IF(COUNTA(E146:J146,P146:W146)&lt;14,"Incomplete",IF((AND(F146&lt;&gt;"",F146&amp;""&lt;&gt;"0",TRIM(K146)="")+AND(G146&lt;&gt;"",G146&amp;""&lt;&gt;"0",TRIM(L146)="")+AND(H146&lt;&gt;"",H146&amp;""&lt;&gt;"0",TRIM(M146)="")+AND(I146&lt;&gt;"",I146&amp;""&lt;&gt;"0",TRIM(N146)="")+AND(J146&lt;&gt;"",J146&amp;""&lt;&gt;"0",TRIM(O146)=""))&gt;0,"Add evidence","Complete")))</f>
        <v/>
      </c>
      <c r="Z146" s="24" t="inlineStr">
        <is>
          <t>7422</t>
        </is>
      </c>
      <c r="AA146" s="24" t="inlineStr">
        <is>
          <t>Information and Communications Technology Installers and Servicers</t>
        </is>
      </c>
      <c r="AB146" s="24" t="inlineStr">
        <is>
          <t>742</t>
        </is>
      </c>
      <c r="AC146" s="24" t="inlineStr">
        <is>
          <t>Electronics and Telecommunication Installers and Repairers</t>
        </is>
      </c>
      <c r="AD146" s="24" t="n">
        <v>7</v>
      </c>
      <c r="AE146" s="24" t="inlineStr">
        <is>
          <t>Craft and Related Trades Workers</t>
        </is>
      </c>
      <c r="AF146" s="24" t="inlineStr">
        <is>
          <t>2</t>
        </is>
      </c>
      <c r="AG146" s="24" t="n"/>
      <c r="AH146" s="24" t="inlineStr">
        <is>
          <t>ELE/Q8102</t>
        </is>
      </c>
      <c r="AI146" s="24" t="inlineStr">
        <is>
          <t>4</t>
        </is>
      </c>
    </row>
    <row r="147" ht="151.2" customHeight="1">
      <c r="A147" s="24" t="n">
        <v>145</v>
      </c>
      <c r="B147" s="24" t="inlineStr">
        <is>
          <t>7422.1600</t>
        </is>
      </c>
      <c r="C147" s="24" t="inlineStr">
        <is>
          <t>Radio Craftsman, Installation</t>
        </is>
      </c>
      <c r="D147" s="25" t="inlineStr">
        <is>
          <t>Radio Craftsman, Installation; Radio Mechanic Installation (Aircraft) installs, tests and repairs aircraft radio equipment during test flights. Studies circuit diagrams, drawings and other specifications for installation of radio equipment in aircraft. Tests and replaces defective radio instruments, components and parts such as radio compass, maker, beacon receptor, radio tubes, transformer etc. using hand tools and electrical measuring instruments. Installs radio equipment in aircraft as specified and solders or tightens loose and broken connections. Operates and tests equipment during tests flights for output, audio quality, frequency, calibration etc. and does necessary repairs and adjustments to ensure efficient performance. Signals ground station and adjusts frequencies of radio sets by turning sets screws. May check batteries and keep them fully charged. May service battery charging set and generator. May conduct maintenance repairs of radio equipment.</t>
        </is>
      </c>
      <c r="E147" s="26" t="n"/>
      <c r="F147" s="26" t="n"/>
      <c r="G147" s="26" t="n"/>
      <c r="H147" s="26" t="n"/>
      <c r="I147" s="26" t="n"/>
      <c r="J147" s="26" t="n"/>
      <c r="K147" s="27" t="n"/>
      <c r="L147" s="27" t="n"/>
      <c r="M147" s="27" t="n"/>
      <c r="N147" s="27" t="n"/>
      <c r="O147" s="27" t="n"/>
      <c r="P147" s="26" t="n"/>
      <c r="Q147" s="26" t="n"/>
      <c r="R147" s="26" t="n"/>
      <c r="S147" s="26" t="n"/>
      <c r="T147" s="26" t="n"/>
      <c r="U147" s="26" t="n"/>
      <c r="V147" s="26" t="n"/>
      <c r="W147" s="26" t="n"/>
      <c r="X147" s="27" t="n"/>
      <c r="Y147" s="28">
        <f>IF(COUNTA(E147:J147,P147:W147)=0,"Not started",IF(COUNTA(E147:J147,P147:W147)&lt;14,"Incomplete",IF((AND(F147&lt;&gt;"",F147&amp;""&lt;&gt;"0",TRIM(K147)="")+AND(G147&lt;&gt;"",G147&amp;""&lt;&gt;"0",TRIM(L147)="")+AND(H147&lt;&gt;"",H147&amp;""&lt;&gt;"0",TRIM(M147)="")+AND(I147&lt;&gt;"",I147&amp;""&lt;&gt;"0",TRIM(N147)="")+AND(J147&lt;&gt;"",J147&amp;""&lt;&gt;"0",TRIM(O147)=""))&gt;0,"Add evidence","Complete")))</f>
        <v/>
      </c>
      <c r="Z147" s="24" t="inlineStr">
        <is>
          <t>7422</t>
        </is>
      </c>
      <c r="AA147" s="24" t="inlineStr">
        <is>
          <t>Information and Communications Technology Installers and Servicers</t>
        </is>
      </c>
      <c r="AB147" s="24" t="inlineStr">
        <is>
          <t>742</t>
        </is>
      </c>
      <c r="AC147" s="24" t="inlineStr">
        <is>
          <t>Electronics and Telecommunication Installers and Repairers</t>
        </is>
      </c>
      <c r="AD147" s="24" t="n">
        <v>7</v>
      </c>
      <c r="AE147" s="24" t="inlineStr">
        <is>
          <t>Craft and Related Trades Workers</t>
        </is>
      </c>
      <c r="AF147" s="24" t="inlineStr">
        <is>
          <t>2</t>
        </is>
      </c>
      <c r="AG147" s="24" t="inlineStr">
        <is>
          <t>7243.75</t>
        </is>
      </c>
      <c r="AH147" s="24" t="n"/>
      <c r="AI147" s="24" t="n"/>
    </row>
    <row r="148" ht="72" customHeight="1">
      <c r="A148" s="24" t="n">
        <v>146</v>
      </c>
      <c r="B148" s="24" t="inlineStr">
        <is>
          <t>7422.2101</t>
        </is>
      </c>
      <c r="C148" s="24" t="inlineStr">
        <is>
          <t>Field Technician (Networking and Storage)</t>
        </is>
      </c>
      <c r="D148" s="25" t="inlineStr">
        <is>
          <t>Field Technician (Networking and Storage) is also called ‘Service Technician’, the Field Technician provides after sale support services to customers, typically, at their premises. The individual at work is responsible for attending to customer complaints, installing newly purchased products, troubleshooting system problems and, configuring hardware equipment such as servers, storage and other related networking devices</t>
        </is>
      </c>
      <c r="E148" s="26" t="n"/>
      <c r="F148" s="26" t="n"/>
      <c r="G148" s="26" t="n"/>
      <c r="H148" s="26" t="n"/>
      <c r="I148" s="26" t="n"/>
      <c r="J148" s="26" t="n"/>
      <c r="K148" s="27" t="n"/>
      <c r="L148" s="27" t="n"/>
      <c r="M148" s="27" t="n"/>
      <c r="N148" s="27" t="n"/>
      <c r="O148" s="27" t="n"/>
      <c r="P148" s="26" t="n"/>
      <c r="Q148" s="26" t="n"/>
      <c r="R148" s="26" t="n"/>
      <c r="S148" s="26" t="n"/>
      <c r="T148" s="26" t="n"/>
      <c r="U148" s="26" t="n"/>
      <c r="V148" s="26" t="n"/>
      <c r="W148" s="26" t="n"/>
      <c r="X148" s="27" t="n"/>
      <c r="Y148" s="28">
        <f>IF(COUNTA(E148:J148,P148:W148)=0,"Not started",IF(COUNTA(E148:J148,P148:W148)&lt;14,"Incomplete",IF((AND(F148&lt;&gt;"",F148&amp;""&lt;&gt;"0",TRIM(K148)="")+AND(G148&lt;&gt;"",G148&amp;""&lt;&gt;"0",TRIM(L148)="")+AND(H148&lt;&gt;"",H148&amp;""&lt;&gt;"0",TRIM(M148)="")+AND(I148&lt;&gt;"",I148&amp;""&lt;&gt;"0",TRIM(N148)="")+AND(J148&lt;&gt;"",J148&amp;""&lt;&gt;"0",TRIM(O148)=""))&gt;0,"Add evidence","Complete")))</f>
        <v/>
      </c>
      <c r="Z148" s="24" t="inlineStr">
        <is>
          <t>7422</t>
        </is>
      </c>
      <c r="AA148" s="24" t="inlineStr">
        <is>
          <t>Information and Communications Technology Installers and Servicers</t>
        </is>
      </c>
      <c r="AB148" s="24" t="inlineStr">
        <is>
          <t>742</t>
        </is>
      </c>
      <c r="AC148" s="24" t="inlineStr">
        <is>
          <t>Electronics and Telecommunication Installers and Repairers</t>
        </is>
      </c>
      <c r="AD148" s="24" t="n">
        <v>7</v>
      </c>
      <c r="AE148" s="24" t="inlineStr">
        <is>
          <t>Craft and Related Trades Workers</t>
        </is>
      </c>
      <c r="AF148" s="24" t="inlineStr">
        <is>
          <t>2</t>
        </is>
      </c>
      <c r="AG148" s="24" t="n"/>
      <c r="AH148" s="24" t="inlineStr">
        <is>
          <t>ELE/Q4606</t>
        </is>
      </c>
      <c r="AI148" s="24" t="inlineStr">
        <is>
          <t>4</t>
        </is>
      </c>
    </row>
    <row r="149" ht="72" customHeight="1">
      <c r="A149" s="24" t="n">
        <v>147</v>
      </c>
      <c r="B149" s="24" t="inlineStr">
        <is>
          <t>7422.2301</t>
        </is>
      </c>
      <c r="C149" s="24" t="inlineStr">
        <is>
          <t>Smartphone Repair Technician</t>
        </is>
      </c>
      <c r="D149" s="25" t="inlineStr">
        <is>
          <t>Smartphone Repair Technician diagnoses problems and repairs the faulty module of the smartphone. The individual at work is responsible for rectifying faults in the smartphone brought in by the customer. The individual receives the faulty Smartphone, diagnoses the problems, performs front end or hardware level repair as required, resolves software issues and ensures effective functioning before delivering back to customer.</t>
        </is>
      </c>
      <c r="E149" s="26" t="n"/>
      <c r="F149" s="26" t="n"/>
      <c r="G149" s="26" t="n"/>
      <c r="H149" s="26" t="n"/>
      <c r="I149" s="26" t="n"/>
      <c r="J149" s="26" t="n"/>
      <c r="K149" s="27" t="n"/>
      <c r="L149" s="27" t="n"/>
      <c r="M149" s="27" t="n"/>
      <c r="N149" s="27" t="n"/>
      <c r="O149" s="27" t="n"/>
      <c r="P149" s="26" t="n"/>
      <c r="Q149" s="26" t="n"/>
      <c r="R149" s="26" t="n"/>
      <c r="S149" s="26" t="n"/>
      <c r="T149" s="26" t="n"/>
      <c r="U149" s="26" t="n"/>
      <c r="V149" s="26" t="n"/>
      <c r="W149" s="26" t="n"/>
      <c r="X149" s="27" t="n"/>
      <c r="Y149" s="28">
        <f>IF(COUNTA(E149:J149,P149:W149)=0,"Not started",IF(COUNTA(E149:J149,P149:W149)&lt;14,"Incomplete",IF((AND(F149&lt;&gt;"",F149&amp;""&lt;&gt;"0",TRIM(K149)="")+AND(G149&lt;&gt;"",G149&amp;""&lt;&gt;"0",TRIM(L149)="")+AND(H149&lt;&gt;"",H149&amp;""&lt;&gt;"0",TRIM(M149)="")+AND(I149&lt;&gt;"",I149&amp;""&lt;&gt;"0",TRIM(N149)="")+AND(J149&lt;&gt;"",J149&amp;""&lt;&gt;"0",TRIM(O149)=""))&gt;0,"Add evidence","Complete")))</f>
        <v/>
      </c>
      <c r="Z149" s="24" t="inlineStr">
        <is>
          <t>7422</t>
        </is>
      </c>
      <c r="AA149" s="24" t="inlineStr">
        <is>
          <t>Information and Communications Technology Installers and Servicers</t>
        </is>
      </c>
      <c r="AB149" s="24" t="inlineStr">
        <is>
          <t>742</t>
        </is>
      </c>
      <c r="AC149" s="24" t="inlineStr">
        <is>
          <t>Electronics and Telecommunication Installers and Repairers</t>
        </is>
      </c>
      <c r="AD149" s="24" t="n">
        <v>7</v>
      </c>
      <c r="AE149" s="24" t="inlineStr">
        <is>
          <t>Craft and Related Trades Workers</t>
        </is>
      </c>
      <c r="AF149" s="24" t="inlineStr">
        <is>
          <t>2</t>
        </is>
      </c>
      <c r="AG149" s="24" t="n"/>
      <c r="AH149" s="24" t="inlineStr">
        <is>
          <t>ELE/Q8104</t>
        </is>
      </c>
      <c r="AI149" s="24" t="inlineStr">
        <is>
          <t>4</t>
        </is>
      </c>
    </row>
    <row r="150" ht="58.8" customHeight="1">
      <c r="A150" s="24" t="n">
        <v>148</v>
      </c>
      <c r="B150" s="24" t="inlineStr">
        <is>
          <t>7422.9900</t>
        </is>
      </c>
      <c r="C150" s="24" t="inlineStr">
        <is>
          <t>Information and Communications Technology Installers and Servicers, Other</t>
        </is>
      </c>
      <c r="D150" s="25" t="inlineStr">
        <is>
          <t>Information and Communications Technology Installers and Servicers, Other include installers and servicers who install, repair and maintain telecommunications equipment, data transmission equipment, cables, antennae and conduits and repair, fit and maintain computers not elsewhere classified.</t>
        </is>
      </c>
      <c r="E150" s="26" t="n"/>
      <c r="F150" s="26" t="n"/>
      <c r="G150" s="26" t="n"/>
      <c r="H150" s="26" t="n"/>
      <c r="I150" s="26" t="n"/>
      <c r="J150" s="26" t="n"/>
      <c r="K150" s="27" t="n"/>
      <c r="L150" s="27" t="n"/>
      <c r="M150" s="27" t="n"/>
      <c r="N150" s="27" t="n"/>
      <c r="O150" s="27" t="n"/>
      <c r="P150" s="26" t="n"/>
      <c r="Q150" s="26" t="n"/>
      <c r="R150" s="26" t="n"/>
      <c r="S150" s="26" t="n"/>
      <c r="T150" s="26" t="n"/>
      <c r="U150" s="26" t="n"/>
      <c r="V150" s="26" t="n"/>
      <c r="W150" s="26" t="n"/>
      <c r="X150" s="27" t="n"/>
      <c r="Y150" s="28">
        <f>IF(COUNTA(E150:J150,P150:W150)=0,"Not started",IF(COUNTA(E150:J150,P150:W150)&lt;14,"Incomplete",IF((AND(F150&lt;&gt;"",F150&amp;""&lt;&gt;"0",TRIM(K150)="")+AND(G150&lt;&gt;"",G150&amp;""&lt;&gt;"0",TRIM(L150)="")+AND(H150&lt;&gt;"",H150&amp;""&lt;&gt;"0",TRIM(M150)="")+AND(I150&lt;&gt;"",I150&amp;""&lt;&gt;"0",TRIM(N150)="")+AND(J150&lt;&gt;"",J150&amp;""&lt;&gt;"0",TRIM(O150)=""))&gt;0,"Add evidence","Complete")))</f>
        <v/>
      </c>
      <c r="Z150" s="24" t="inlineStr">
        <is>
          <t>7422</t>
        </is>
      </c>
      <c r="AA150" s="24" t="inlineStr">
        <is>
          <t>Information and Communications Technology Installers and Servicers</t>
        </is>
      </c>
      <c r="AB150" s="24" t="inlineStr">
        <is>
          <t>742</t>
        </is>
      </c>
      <c r="AC150" s="24" t="inlineStr">
        <is>
          <t>Electronics and Telecommunication Installers and Repairers</t>
        </is>
      </c>
      <c r="AD150" s="24" t="n">
        <v>7</v>
      </c>
      <c r="AE150" s="24" t="inlineStr">
        <is>
          <t>Craft and Related Trades Workers</t>
        </is>
      </c>
      <c r="AF150" s="24" t="inlineStr">
        <is>
          <t>2</t>
        </is>
      </c>
      <c r="AG150" s="24" t="n"/>
      <c r="AH150" s="24" t="n"/>
      <c r="AI150" s="24" t="n"/>
    </row>
    <row r="151" ht="124.8" customHeight="1">
      <c r="A151" s="24" t="n">
        <v>149</v>
      </c>
      <c r="B151" s="24" t="inlineStr">
        <is>
          <t>7512.0200</t>
        </is>
      </c>
      <c r="C151" s="24" t="inlineStr">
        <is>
          <t>Mixing Machine Attendant</t>
        </is>
      </c>
      <c r="D151" s="25" t="inlineStr">
        <is>
          <t>Mixing Machine Attendant; Dough Mixer, Machine (Bakery) mixes flour, water, milk, sugar and other ingredients by machine according to instructions or specified formula to make dough for cakes, biscuits, wafer etc. Measures various ingredients such as flour, sugar, water and milk in required proportions and dumps them into mixing machine; turns knobs to set mixing time and maintain temperature of dough; starts machine; observes operation of mixing and automatic formation of dough in machine; feels dough for desired consistency; stops machine and dumps dough into trough. Pushes troughs of sponge dough into room to ferment for specified time; dumps raised sponged dough into mixer and adds ingredients to complete mixer; records number of batches mixed. May be designated according to type of dough mixed as BREAD DOUGH MIXER; PASTRY MIXER; COOKIE MIXER.</t>
        </is>
      </c>
      <c r="E151" s="26" t="n"/>
      <c r="F151" s="26" t="n"/>
      <c r="G151" s="26" t="n"/>
      <c r="H151" s="26" t="n"/>
      <c r="I151" s="26" t="n"/>
      <c r="J151" s="26" t="n"/>
      <c r="K151" s="27" t="n"/>
      <c r="L151" s="27" t="n"/>
      <c r="M151" s="27" t="n"/>
      <c r="N151" s="27" t="n"/>
      <c r="O151" s="27" t="n"/>
      <c r="P151" s="26" t="n"/>
      <c r="Q151" s="26" t="n"/>
      <c r="R151" s="26" t="n"/>
      <c r="S151" s="26" t="n"/>
      <c r="T151" s="26" t="n"/>
      <c r="U151" s="26" t="n"/>
      <c r="V151" s="26" t="n"/>
      <c r="W151" s="26" t="n"/>
      <c r="X151" s="27" t="n"/>
      <c r="Y151" s="28">
        <f>IF(COUNTA(E151:J151,P151:W151)=0,"Not started",IF(COUNTA(E151:J151,P151:W151)&lt;14,"Incomplete",IF((AND(F151&lt;&gt;"",F151&amp;""&lt;&gt;"0",TRIM(K151)="")+AND(G151&lt;&gt;"",G151&amp;""&lt;&gt;"0",TRIM(L151)="")+AND(H151&lt;&gt;"",H151&amp;""&lt;&gt;"0",TRIM(M151)="")+AND(I151&lt;&gt;"",I151&amp;""&lt;&gt;"0",TRIM(N151)="")+AND(J151&lt;&gt;"",J151&amp;""&lt;&gt;"0",TRIM(O151)=""))&gt;0,"Add evidence","Complete")))</f>
        <v/>
      </c>
      <c r="Z151" s="24" t="inlineStr">
        <is>
          <t>7512</t>
        </is>
      </c>
      <c r="AA151" s="24" t="inlineStr">
        <is>
          <t>Bakers, Pastry Cooks and Confectionery Makers</t>
        </is>
      </c>
      <c r="AB151" s="24" t="inlineStr">
        <is>
          <t>751</t>
        </is>
      </c>
      <c r="AC151" s="24" t="inlineStr">
        <is>
          <t>Food Processing and Related Trade Workers</t>
        </is>
      </c>
      <c r="AD151" s="24" t="n">
        <v>7</v>
      </c>
      <c r="AE151" s="24" t="inlineStr">
        <is>
          <t>Craft and Related Trades Workers</t>
        </is>
      </c>
      <c r="AF151" s="24" t="inlineStr">
        <is>
          <t>2</t>
        </is>
      </c>
      <c r="AG151" s="24" t="inlineStr">
        <is>
          <t>7412.15</t>
        </is>
      </c>
      <c r="AH151" s="24" t="n"/>
      <c r="AI151" s="24" t="n"/>
    </row>
    <row r="152" ht="124.8" customHeight="1">
      <c r="A152" s="24" t="n">
        <v>150</v>
      </c>
      <c r="B152" s="24" t="inlineStr">
        <is>
          <t>7512.9900</t>
        </is>
      </c>
      <c r="C152" s="24" t="inlineStr">
        <is>
          <t>Bakers, Pastry Cooks and Confectionery Makers, Other</t>
        </is>
      </c>
      <c r="D152" s="25" t="inlineStr">
        <is>
          <t>Bakers, Pastry-cooks and Confectionery Makers, Other include all other workers who perform variety of routine and low skilled tasks in baking and confectionery and may be designated according to nature of work performed such as: Helper (Confectionery) assists in weighing, mixing of ingredients, heating them in steam or vacuum pans, adding flavour and colour to dough or paste, moulding, shaping, cutting and wrapping of soft or hard stuff for finished products. Bread Slicer slices bread using hand operated or power driven slicing machine Baker Helper helps baker by performing duties as kneading dough, cutting dough into desired sizes removing baked products from oven. Mill Room Hand (Chocolate) performs one or more operations in chocolate making e.g., grinding, refining, sieving as required.</t>
        </is>
      </c>
      <c r="E152" s="26" t="n"/>
      <c r="F152" s="26" t="n"/>
      <c r="G152" s="26" t="n"/>
      <c r="H152" s="26" t="n"/>
      <c r="I152" s="26" t="n"/>
      <c r="J152" s="26" t="n"/>
      <c r="K152" s="27" t="n"/>
      <c r="L152" s="27" t="n"/>
      <c r="M152" s="27" t="n"/>
      <c r="N152" s="27" t="n"/>
      <c r="O152" s="27" t="n"/>
      <c r="P152" s="26" t="n"/>
      <c r="Q152" s="26" t="n"/>
      <c r="R152" s="26" t="n"/>
      <c r="S152" s="26" t="n"/>
      <c r="T152" s="26" t="n"/>
      <c r="U152" s="26" t="n"/>
      <c r="V152" s="26" t="n"/>
      <c r="W152" s="26" t="n"/>
      <c r="X152" s="27" t="n"/>
      <c r="Y152" s="28">
        <f>IF(COUNTA(E152:J152,P152:W152)=0,"Not started",IF(COUNTA(E152:J152,P152:W152)&lt;14,"Incomplete",IF((AND(F152&lt;&gt;"",F152&amp;""&lt;&gt;"0",TRIM(K152)="")+AND(G152&lt;&gt;"",G152&amp;""&lt;&gt;"0",TRIM(L152)="")+AND(H152&lt;&gt;"",H152&amp;""&lt;&gt;"0",TRIM(M152)="")+AND(I152&lt;&gt;"",I152&amp;""&lt;&gt;"0",TRIM(N152)="")+AND(J152&lt;&gt;"",J152&amp;""&lt;&gt;"0",TRIM(O152)=""))&gt;0,"Add evidence","Complete")))</f>
        <v/>
      </c>
      <c r="Z152" s="24" t="inlineStr">
        <is>
          <t>7512</t>
        </is>
      </c>
      <c r="AA152" s="24" t="inlineStr">
        <is>
          <t>Bakers, Pastry Cooks and Confectionery Makers</t>
        </is>
      </c>
      <c r="AB152" s="24" t="inlineStr">
        <is>
          <t>751</t>
        </is>
      </c>
      <c r="AC152" s="24" t="inlineStr">
        <is>
          <t>Food Processing and Related Trade Workers</t>
        </is>
      </c>
      <c r="AD152" s="24" t="n">
        <v>7</v>
      </c>
      <c r="AE152" s="24" t="inlineStr">
        <is>
          <t>Craft and Related Trades Workers</t>
        </is>
      </c>
      <c r="AF152" s="24" t="inlineStr">
        <is>
          <t>2</t>
        </is>
      </c>
      <c r="AG152" s="24" t="inlineStr">
        <is>
          <t>7412.90</t>
        </is>
      </c>
      <c r="AH152" s="24" t="n"/>
      <c r="AI152" s="24" t="n"/>
    </row>
    <row r="153" ht="151.2" customHeight="1">
      <c r="A153" s="24" t="n">
        <v>151</v>
      </c>
      <c r="B153" s="24" t="inlineStr">
        <is>
          <t>7522.1600</t>
        </is>
      </c>
      <c r="C153" s="24" t="inlineStr">
        <is>
          <t>Picture Frame Maker</t>
        </is>
      </c>
      <c r="D153" s="25" t="inlineStr">
        <is>
          <t>Picture Frame Maker makes picture or photo frames from soft wood by sawing, planing, shaping etc. using power and hand tools. Cuts wooden planks or slides into long thin strips with power or hand saw and planes, shapes and sizes them to required thickness, form etc. using power and hand tools according to frame design. Marks frame strip to suit length and width of picture or photo to be framed, places it in mitre box (sawing jig) and cuts it according to markings at 45 degrees angle. Planes rebate (groove) on back side of cut strips with side planer and determines location, size and angle of nail holes to be drilled. Drills partial holes in one end of each piece, applies glue at mitered ends and assembles frame together by holding sized pieces in vice and driving nails through drilled holes. Smoothens frame to required finish by rubbing with sand paper. May polish frame. May set leather, velvet or other material in frame. May set glass, hard board etc. and mount picture in frame.</t>
        </is>
      </c>
      <c r="E153" s="26" t="n"/>
      <c r="F153" s="26" t="n"/>
      <c r="G153" s="26" t="n"/>
      <c r="H153" s="26" t="n"/>
      <c r="I153" s="26" t="n"/>
      <c r="J153" s="26" t="n"/>
      <c r="K153" s="27" t="n"/>
      <c r="L153" s="27" t="n"/>
      <c r="M153" s="27" t="n"/>
      <c r="N153" s="27" t="n"/>
      <c r="O153" s="27" t="n"/>
      <c r="P153" s="26" t="n"/>
      <c r="Q153" s="26" t="n"/>
      <c r="R153" s="26" t="n"/>
      <c r="S153" s="26" t="n"/>
      <c r="T153" s="26" t="n"/>
      <c r="U153" s="26" t="n"/>
      <c r="V153" s="26" t="n"/>
      <c r="W153" s="26" t="n"/>
      <c r="X153" s="27" t="n"/>
      <c r="Y153" s="28">
        <f>IF(COUNTA(E153:J153,P153:W153)=0,"Not started",IF(COUNTA(E153:J153,P153:W153)&lt;14,"Incomplete",IF((AND(F153&lt;&gt;"",F153&amp;""&lt;&gt;"0",TRIM(K153)="")+AND(G153&lt;&gt;"",G153&amp;""&lt;&gt;"0",TRIM(L153)="")+AND(H153&lt;&gt;"",H153&amp;""&lt;&gt;"0",TRIM(M153)="")+AND(I153&lt;&gt;"",I153&amp;""&lt;&gt;"0",TRIM(N153)="")+AND(J153&lt;&gt;"",J153&amp;""&lt;&gt;"0",TRIM(O153)=""))&gt;0,"Add evidence","Complete")))</f>
        <v/>
      </c>
      <c r="Z153" s="24" t="inlineStr">
        <is>
          <t>7522</t>
        </is>
      </c>
      <c r="AA153" s="24" t="inlineStr">
        <is>
          <t>Cabinet Makers and Related Workers</t>
        </is>
      </c>
      <c r="AB153" s="24" t="inlineStr">
        <is>
          <t>752</t>
        </is>
      </c>
      <c r="AC153" s="24" t="inlineStr">
        <is>
          <t>Wood Treaters, Cabinet Makers and Related Trades Workers</t>
        </is>
      </c>
      <c r="AD153" s="24" t="n">
        <v>7</v>
      </c>
      <c r="AE153" s="24" t="inlineStr">
        <is>
          <t>Craft and Related Trades Workers</t>
        </is>
      </c>
      <c r="AF153" s="24" t="inlineStr">
        <is>
          <t>2</t>
        </is>
      </c>
      <c r="AG153" s="24" t="inlineStr">
        <is>
          <t>7422.52</t>
        </is>
      </c>
      <c r="AH153" s="24" t="n"/>
      <c r="AI153" s="24" t="n"/>
    </row>
    <row r="154" ht="111.6" customHeight="1">
      <c r="A154" s="24" t="n">
        <v>152</v>
      </c>
      <c r="B154" s="24" t="inlineStr">
        <is>
          <t>7523.1800</t>
        </is>
      </c>
      <c r="C154" s="24" t="inlineStr">
        <is>
          <t>Sander Operator</t>
        </is>
      </c>
      <c r="D154" s="25" t="inlineStr">
        <is>
          <t>Sander Operator sets and operates sanding machine for smoothening and finishing wooden surfaces with sand paper. Selects grade of sand paper according to degree or smoothness and finish required and fits it on sanding drum. Adjusts gap between feed belt and roller by observing index needle and starts machine. Feeds ply-wood or article to be polished by feed belt against revolving sand paper to get rubbed and smoothened. Switches on exhaust fan of machine to collect dust during operation and uses goggles and rubber gloves for personal safety. Changes grade of sand paper till required smoothness is achieved. May smoothen wooden articles on simpler machine by fixing them on machine platform not provided with automatic feed arrangement.</t>
        </is>
      </c>
      <c r="E154" s="26" t="n"/>
      <c r="F154" s="26" t="n"/>
      <c r="G154" s="26" t="n"/>
      <c r="H154" s="26" t="n"/>
      <c r="I154" s="26" t="n"/>
      <c r="J154" s="26" t="n"/>
      <c r="K154" s="27" t="n"/>
      <c r="L154" s="27" t="n"/>
      <c r="M154" s="27" t="n"/>
      <c r="N154" s="27" t="n"/>
      <c r="O154" s="27" t="n"/>
      <c r="P154" s="26" t="n"/>
      <c r="Q154" s="26" t="n"/>
      <c r="R154" s="26" t="n"/>
      <c r="S154" s="26" t="n"/>
      <c r="T154" s="26" t="n"/>
      <c r="U154" s="26" t="n"/>
      <c r="V154" s="26" t="n"/>
      <c r="W154" s="26" t="n"/>
      <c r="X154" s="27" t="n"/>
      <c r="Y154" s="28">
        <f>IF(COUNTA(E154:J154,P154:W154)=0,"Not started",IF(COUNTA(E154:J154,P154:W154)&lt;14,"Incomplete",IF((AND(F154&lt;&gt;"",F154&amp;""&lt;&gt;"0",TRIM(K154)="")+AND(G154&lt;&gt;"",G154&amp;""&lt;&gt;"0",TRIM(L154)="")+AND(H154&lt;&gt;"",H154&amp;""&lt;&gt;"0",TRIM(M154)="")+AND(I154&lt;&gt;"",I154&amp;""&lt;&gt;"0",TRIM(N154)="")+AND(J154&lt;&gt;"",J154&amp;""&lt;&gt;"0",TRIM(O154)=""))&gt;0,"Add evidence","Complete")))</f>
        <v/>
      </c>
      <c r="Z154" s="24" t="inlineStr">
        <is>
          <t>7523</t>
        </is>
      </c>
      <c r="AA154" s="24" t="inlineStr">
        <is>
          <t>Wood Working Machine Tool Setters and Operators</t>
        </is>
      </c>
      <c r="AB154" s="24" t="inlineStr">
        <is>
          <t>752</t>
        </is>
      </c>
      <c r="AC154" s="24" t="inlineStr">
        <is>
          <t>Wood Treaters, Cabinet Makers and Related Trades Workers</t>
        </is>
      </c>
      <c r="AD154" s="24" t="n">
        <v>7</v>
      </c>
      <c r="AE154" s="24" t="inlineStr">
        <is>
          <t>Craft and Related Trades Workers</t>
        </is>
      </c>
      <c r="AF154" s="24" t="inlineStr">
        <is>
          <t>2</t>
        </is>
      </c>
      <c r="AG154" s="24" t="inlineStr">
        <is>
          <t>8241.30</t>
        </is>
      </c>
      <c r="AH154" s="24" t="n"/>
      <c r="AI154" s="24" t="n"/>
    </row>
    <row r="155" ht="85.19999999999999" customHeight="1">
      <c r="A155" s="24" t="n">
        <v>153</v>
      </c>
      <c r="B155" s="24" t="inlineStr">
        <is>
          <t>7531.0101</t>
        </is>
      </c>
      <c r="C155" s="24" t="inlineStr">
        <is>
          <t>Sampling Tailor</t>
        </is>
      </c>
      <c r="D155" s="25" t="inlineStr">
        <is>
          <t>Sampling tailor is responsible for developing garment sample as per buyer’s specifications in the apparel industry. A sampling tailor should be able to perform basic fabric cutting operations and stitch garments of various designs with different necklines, sleeves, collar etc. as per the quality standards. This job requires the individual to have thorough knowledge of measurements, garment styles, sampling and apparel production processes and should be able to sew garments with different materials and trims.</t>
        </is>
      </c>
      <c r="E155" s="26" t="n"/>
      <c r="F155" s="26" t="n"/>
      <c r="G155" s="26" t="n"/>
      <c r="H155" s="26" t="n"/>
      <c r="I155" s="26" t="n"/>
      <c r="J155" s="26" t="n"/>
      <c r="K155" s="27" t="n"/>
      <c r="L155" s="27" t="n"/>
      <c r="M155" s="27" t="n"/>
      <c r="N155" s="27" t="n"/>
      <c r="O155" s="27" t="n"/>
      <c r="P155" s="26" t="n"/>
      <c r="Q155" s="26" t="n"/>
      <c r="R155" s="26" t="n"/>
      <c r="S155" s="26" t="n"/>
      <c r="T155" s="26" t="n"/>
      <c r="U155" s="26" t="n"/>
      <c r="V155" s="26" t="n"/>
      <c r="W155" s="26" t="n"/>
      <c r="X155" s="27" t="n"/>
      <c r="Y155" s="28">
        <f>IF(COUNTA(E155:J155,P155:W155)=0,"Not started",IF(COUNTA(E155:J155,P155:W155)&lt;14,"Incomplete",IF((AND(F155&lt;&gt;"",F155&amp;""&lt;&gt;"0",TRIM(K155)="")+AND(G155&lt;&gt;"",G155&amp;""&lt;&gt;"0",TRIM(L155)="")+AND(H155&lt;&gt;"",H155&amp;""&lt;&gt;"0",TRIM(M155)="")+AND(I155&lt;&gt;"",I155&amp;""&lt;&gt;"0",TRIM(N155)="")+AND(J155&lt;&gt;"",J155&amp;""&lt;&gt;"0",TRIM(O155)=""))&gt;0,"Add evidence","Complete")))</f>
        <v/>
      </c>
      <c r="Z155" s="24" t="inlineStr">
        <is>
          <t>7531</t>
        </is>
      </c>
      <c r="AA155" s="24" t="inlineStr">
        <is>
          <t>Tailors, Dressmakers, Furriers and Hatters</t>
        </is>
      </c>
      <c r="AB155" s="24" t="inlineStr">
        <is>
          <t>753</t>
        </is>
      </c>
      <c r="AC155" s="24" t="inlineStr">
        <is>
          <t>Garment and Related Trades Workers</t>
        </is>
      </c>
      <c r="AD155" s="24" t="n">
        <v>7</v>
      </c>
      <c r="AE155" s="24" t="inlineStr">
        <is>
          <t>Craft and Related Trades Workers</t>
        </is>
      </c>
      <c r="AF155" s="24" t="inlineStr">
        <is>
          <t>2</t>
        </is>
      </c>
      <c r="AG155" s="24" t="n"/>
      <c r="AH155" s="24" t="inlineStr">
        <is>
          <t>AMH/A0701</t>
        </is>
      </c>
      <c r="AI155" s="24" t="n"/>
    </row>
    <row r="156" ht="72" customHeight="1">
      <c r="A156" s="24" t="n">
        <v>154</v>
      </c>
      <c r="B156" s="24" t="inlineStr">
        <is>
          <t>7531.0200</t>
        </is>
      </c>
      <c r="C156" s="24" t="inlineStr">
        <is>
          <t>Dress Maker/Ladies Dress Maker</t>
        </is>
      </c>
      <c r="D156" s="25" t="inlineStr">
        <is>
          <t>Dress Maker stitches together parts of women's garments such as dresses, blouses, jumpers, brassieres, etc., according to instructions of Master Cutter. Stitches together parts by hand and machine. Inserts inner material, makes embroidery work, button-holes, etc., and attaches lining, lace, button, etc. Carries out alteration as directed. May press garments and supervise work of Sewer, Hand.</t>
        </is>
      </c>
      <c r="E156" s="26" t="n"/>
      <c r="F156" s="26" t="n"/>
      <c r="G156" s="26" t="n"/>
      <c r="H156" s="26" t="n"/>
      <c r="I156" s="26" t="n"/>
      <c r="J156" s="26" t="n"/>
      <c r="K156" s="27" t="n"/>
      <c r="L156" s="27" t="n"/>
      <c r="M156" s="27" t="n"/>
      <c r="N156" s="27" t="n"/>
      <c r="O156" s="27" t="n"/>
      <c r="P156" s="26" t="n"/>
      <c r="Q156" s="26" t="n"/>
      <c r="R156" s="26" t="n"/>
      <c r="S156" s="26" t="n"/>
      <c r="T156" s="26" t="n"/>
      <c r="U156" s="26" t="n"/>
      <c r="V156" s="26" t="n"/>
      <c r="W156" s="26" t="n"/>
      <c r="X156" s="27" t="n"/>
      <c r="Y156" s="28">
        <f>IF(COUNTA(E156:J156,P156:W156)=0,"Not started",IF(COUNTA(E156:J156,P156:W156)&lt;14,"Incomplete",IF((AND(F156&lt;&gt;"",F156&amp;""&lt;&gt;"0",TRIM(K156)="")+AND(G156&lt;&gt;"",G156&amp;""&lt;&gt;"0",TRIM(L156)="")+AND(H156&lt;&gt;"",H156&amp;""&lt;&gt;"0",TRIM(M156)="")+AND(I156&lt;&gt;"",I156&amp;""&lt;&gt;"0",TRIM(N156)="")+AND(J156&lt;&gt;"",J156&amp;""&lt;&gt;"0",TRIM(O156)=""))&gt;0,"Add evidence","Complete")))</f>
        <v/>
      </c>
      <c r="Z156" s="24" t="inlineStr">
        <is>
          <t>7531</t>
        </is>
      </c>
      <c r="AA156" s="24" t="inlineStr">
        <is>
          <t>Tailors, Dressmakers, Furriers and Hatters</t>
        </is>
      </c>
      <c r="AB156" s="24" t="inlineStr">
        <is>
          <t>753</t>
        </is>
      </c>
      <c r="AC156" s="24" t="inlineStr">
        <is>
          <t>Garment and Related Trades Workers</t>
        </is>
      </c>
      <c r="AD156" s="24" t="n">
        <v>7</v>
      </c>
      <c r="AE156" s="24" t="inlineStr">
        <is>
          <t>Craft and Related Trades Workers</t>
        </is>
      </c>
      <c r="AF156" s="24" t="inlineStr">
        <is>
          <t>2</t>
        </is>
      </c>
      <c r="AG156" s="24" t="inlineStr">
        <is>
          <t>7433.15</t>
        </is>
      </c>
      <c r="AH156" s="24" t="n"/>
      <c r="AI156" s="24" t="n"/>
    </row>
    <row r="157" ht="85.19999999999999" customHeight="1">
      <c r="A157" s="24" t="n">
        <v>155</v>
      </c>
      <c r="B157" s="24" t="inlineStr">
        <is>
          <t>7531.1300</t>
        </is>
      </c>
      <c r="C157" s="24" t="inlineStr">
        <is>
          <t>Pattern Maker, Fur</t>
        </is>
      </c>
      <c r="D157" s="25" t="inlineStr">
        <is>
          <t>Pattern Maker, Fur prepares patterns and full-size canvas models of garments and other articles of fur to guide Cutters and Finishers. Draws pattern on paper in accordance with garment design or customer's measurements. Makes canvas model of garment according to pattern. Checks patterns and model for accuracy and makes necessary alterations. Passes them to garment Cutters or Finishers. Examines completed garment for defects. Cuts patterns for fur trimmings, accessories and other fur articles and for alteration of fur articles. May cut patterns for fancy leather goods.</t>
        </is>
      </c>
      <c r="E157" s="26" t="n"/>
      <c r="F157" s="26" t="n"/>
      <c r="G157" s="26" t="n"/>
      <c r="H157" s="26" t="n"/>
      <c r="I157" s="26" t="n"/>
      <c r="J157" s="26" t="n"/>
      <c r="K157" s="27" t="n"/>
      <c r="L157" s="27" t="n"/>
      <c r="M157" s="27" t="n"/>
      <c r="N157" s="27" t="n"/>
      <c r="O157" s="27" t="n"/>
      <c r="P157" s="26" t="n"/>
      <c r="Q157" s="26" t="n"/>
      <c r="R157" s="26" t="n"/>
      <c r="S157" s="26" t="n"/>
      <c r="T157" s="26" t="n"/>
      <c r="U157" s="26" t="n"/>
      <c r="V157" s="26" t="n"/>
      <c r="W157" s="26" t="n"/>
      <c r="X157" s="27" t="n"/>
      <c r="Y157" s="28">
        <f>IF(COUNTA(E157:J157,P157:W157)=0,"Not started",IF(COUNTA(E157:J157,P157:W157)&lt;14,"Incomplete",IF((AND(F157&lt;&gt;"",F157&amp;""&lt;&gt;"0",TRIM(K157)="")+AND(G157&lt;&gt;"",G157&amp;""&lt;&gt;"0",TRIM(L157)="")+AND(H157&lt;&gt;"",H157&amp;""&lt;&gt;"0",TRIM(M157)="")+AND(I157&lt;&gt;"",I157&amp;""&lt;&gt;"0",TRIM(N157)="")+AND(J157&lt;&gt;"",J157&amp;""&lt;&gt;"0",TRIM(O157)=""))&gt;0,"Add evidence","Complete")))</f>
        <v/>
      </c>
      <c r="Z157" s="24" t="inlineStr">
        <is>
          <t>7531</t>
        </is>
      </c>
      <c r="AA157" s="24" t="inlineStr">
        <is>
          <t>Tailors, Dressmakers, Furriers and Hatters</t>
        </is>
      </c>
      <c r="AB157" s="24" t="inlineStr">
        <is>
          <t>753</t>
        </is>
      </c>
      <c r="AC157" s="24" t="inlineStr">
        <is>
          <t>Garment and Related Trades Workers</t>
        </is>
      </c>
      <c r="AD157" s="24" t="n">
        <v>7</v>
      </c>
      <c r="AE157" s="24" t="inlineStr">
        <is>
          <t>Craft and Related Trades Workers</t>
        </is>
      </c>
      <c r="AF157" s="24" t="inlineStr">
        <is>
          <t>2</t>
        </is>
      </c>
      <c r="AG157" s="24" t="inlineStr">
        <is>
          <t>7434.20</t>
        </is>
      </c>
      <c r="AH157" s="24" t="n"/>
      <c r="AI157" s="24" t="n"/>
    </row>
    <row r="158" ht="45.59999999999999" customHeight="1">
      <c r="A158" s="24" t="n">
        <v>156</v>
      </c>
      <c r="B158" s="24" t="inlineStr">
        <is>
          <t>7532.0902</t>
        </is>
      </c>
      <c r="C158" s="24" t="inlineStr">
        <is>
          <t>Advance Pattern Maker, Garment (CAD/CAM)</t>
        </is>
      </c>
      <c r="D158" s="25" t="inlineStr">
        <is>
          <t>Advance Pattern Maker (CAD/CAM) uses the CAD system to recreate the pattern design techniques by transferring ideas to the computer, digitizing and modifying patterns and also the use of CAM to get the patterns and lays cut out in the actual sizes.</t>
        </is>
      </c>
      <c r="E158" s="26" t="n"/>
      <c r="F158" s="26" t="n"/>
      <c r="G158" s="26" t="n"/>
      <c r="H158" s="26" t="n"/>
      <c r="I158" s="26" t="n"/>
      <c r="J158" s="26" t="n"/>
      <c r="K158" s="27" t="n"/>
      <c r="L158" s="27" t="n"/>
      <c r="M158" s="27" t="n"/>
      <c r="N158" s="27" t="n"/>
      <c r="O158" s="27" t="n"/>
      <c r="P158" s="26" t="n"/>
      <c r="Q158" s="26" t="n"/>
      <c r="R158" s="26" t="n"/>
      <c r="S158" s="26" t="n"/>
      <c r="T158" s="26" t="n"/>
      <c r="U158" s="26" t="n"/>
      <c r="V158" s="26" t="n"/>
      <c r="W158" s="26" t="n"/>
      <c r="X158" s="27" t="n"/>
      <c r="Y158" s="28">
        <f>IF(COUNTA(E158:J158,P158:W158)=0,"Not started",IF(COUNTA(E158:J158,P158:W158)&lt;14,"Incomplete",IF((AND(F158&lt;&gt;"",F158&amp;""&lt;&gt;"0",TRIM(K158)="")+AND(G158&lt;&gt;"",G158&amp;""&lt;&gt;"0",TRIM(L158)="")+AND(H158&lt;&gt;"",H158&amp;""&lt;&gt;"0",TRIM(M158)="")+AND(I158&lt;&gt;"",I158&amp;""&lt;&gt;"0",TRIM(N158)="")+AND(J158&lt;&gt;"",J158&amp;""&lt;&gt;"0",TRIM(O158)=""))&gt;0,"Add evidence","Complete")))</f>
        <v/>
      </c>
      <c r="Z158" s="24" t="inlineStr">
        <is>
          <t>7532</t>
        </is>
      </c>
      <c r="AA158" s="24" t="inlineStr">
        <is>
          <t>Garment and Related Pattern Makers and Cutters</t>
        </is>
      </c>
      <c r="AB158" s="24" t="inlineStr">
        <is>
          <t>753</t>
        </is>
      </c>
      <c r="AC158" s="24" t="inlineStr">
        <is>
          <t>Garment and Related Trades Workers</t>
        </is>
      </c>
      <c r="AD158" s="24" t="n">
        <v>7</v>
      </c>
      <c r="AE158" s="24" t="inlineStr">
        <is>
          <t>Craft and Related Trades Workers</t>
        </is>
      </c>
      <c r="AF158" s="24" t="inlineStr">
        <is>
          <t>2</t>
        </is>
      </c>
      <c r="AG158" s="24" t="n"/>
      <c r="AH158" s="24" t="inlineStr">
        <is>
          <t>AMH/Q1101</t>
        </is>
      </c>
      <c r="AI158" s="24" t="inlineStr">
        <is>
          <t>6</t>
        </is>
      </c>
    </row>
    <row r="159" ht="45.59999999999999" customHeight="1">
      <c r="A159" s="24" t="n">
        <v>157</v>
      </c>
      <c r="B159" s="24" t="inlineStr">
        <is>
          <t>7534.9900</t>
        </is>
      </c>
      <c r="C159" s="24" t="inlineStr">
        <is>
          <t>Upholsterers and Related Workers, Other</t>
        </is>
      </c>
      <c r="D159" s="25" t="inlineStr">
        <is>
          <t>Upholsterer and Related Workers, Other include all other upholsterers and related workers such as those engaged in cutting out or completely making curtains, pelmets, wall and furniture covers, quilts and other soft furnishings, not elsewhere classified.</t>
        </is>
      </c>
      <c r="E159" s="26" t="n"/>
      <c r="F159" s="26" t="n"/>
      <c r="G159" s="26" t="n"/>
      <c r="H159" s="26" t="n"/>
      <c r="I159" s="26" t="n"/>
      <c r="J159" s="26" t="n"/>
      <c r="K159" s="27" t="n"/>
      <c r="L159" s="27" t="n"/>
      <c r="M159" s="27" t="n"/>
      <c r="N159" s="27" t="n"/>
      <c r="O159" s="27" t="n"/>
      <c r="P159" s="26" t="n"/>
      <c r="Q159" s="26" t="n"/>
      <c r="R159" s="26" t="n"/>
      <c r="S159" s="26" t="n"/>
      <c r="T159" s="26" t="n"/>
      <c r="U159" s="26" t="n"/>
      <c r="V159" s="26" t="n"/>
      <c r="W159" s="26" t="n"/>
      <c r="X159" s="27" t="n"/>
      <c r="Y159" s="28">
        <f>IF(COUNTA(E159:J159,P159:W159)=0,"Not started",IF(COUNTA(E159:J159,P159:W159)&lt;14,"Incomplete",IF((AND(F159&lt;&gt;"",F159&amp;""&lt;&gt;"0",TRIM(K159)="")+AND(G159&lt;&gt;"",G159&amp;""&lt;&gt;"0",TRIM(L159)="")+AND(H159&lt;&gt;"",H159&amp;""&lt;&gt;"0",TRIM(M159)="")+AND(I159&lt;&gt;"",I159&amp;""&lt;&gt;"0",TRIM(N159)="")+AND(J159&lt;&gt;"",J159&amp;""&lt;&gt;"0",TRIM(O159)=""))&gt;0,"Add evidence","Complete")))</f>
        <v/>
      </c>
      <c r="Z159" s="24" t="inlineStr">
        <is>
          <t>7534</t>
        </is>
      </c>
      <c r="AA159" s="24" t="inlineStr">
        <is>
          <t>Upholsterers and Related Workers</t>
        </is>
      </c>
      <c r="AB159" s="24" t="inlineStr">
        <is>
          <t>753</t>
        </is>
      </c>
      <c r="AC159" s="24" t="inlineStr">
        <is>
          <t>Garment and Related Trades Workers</t>
        </is>
      </c>
      <c r="AD159" s="24" t="n">
        <v>7</v>
      </c>
      <c r="AE159" s="24" t="inlineStr">
        <is>
          <t>Craft and Related Trades Workers</t>
        </is>
      </c>
      <c r="AF159" s="24" t="inlineStr">
        <is>
          <t>2</t>
        </is>
      </c>
      <c r="AG159" s="24" t="inlineStr">
        <is>
          <t>7437.90</t>
        </is>
      </c>
      <c r="AH159" s="24" t="n"/>
      <c r="AI159" s="24" t="n"/>
    </row>
    <row r="160" ht="98.39999999999999" customHeight="1">
      <c r="A160" s="24" t="n">
        <v>158</v>
      </c>
      <c r="B160" s="24" t="inlineStr">
        <is>
          <t>7541.0700</t>
        </is>
      </c>
      <c r="C160" s="24" t="inlineStr">
        <is>
          <t>Skin Diver</t>
        </is>
      </c>
      <c r="D160" s="25" t="inlineStr">
        <is>
          <t>Skin Diver dives into sea water for underwater examination of keel of ship, propellers, pipes, sandpipes and hopper doors of dredges etc., for suspected breakage or leakage and reports defects. Receives order from supervisors and goes to spot where diving is required, on launch. Ascertains depth of water by putting sounding lines and judges whether skin diving is feasible. Dives into water by holding on rope attached with heavy weight (sinker) and lowered into bottom of water and reports defects to supervisors. Rectifies minor defects and removes obstructions while under water, if possible.</t>
        </is>
      </c>
      <c r="E160" s="26" t="n"/>
      <c r="F160" s="26" t="n"/>
      <c r="G160" s="26" t="n"/>
      <c r="H160" s="26" t="n"/>
      <c r="I160" s="26" t="n"/>
      <c r="J160" s="26" t="n"/>
      <c r="K160" s="27" t="n"/>
      <c r="L160" s="27" t="n"/>
      <c r="M160" s="27" t="n"/>
      <c r="N160" s="27" t="n"/>
      <c r="O160" s="27" t="n"/>
      <c r="P160" s="26" t="n"/>
      <c r="Q160" s="26" t="n"/>
      <c r="R160" s="26" t="n"/>
      <c r="S160" s="26" t="n"/>
      <c r="T160" s="26" t="n"/>
      <c r="U160" s="26" t="n"/>
      <c r="V160" s="26" t="n"/>
      <c r="W160" s="26" t="n"/>
      <c r="X160" s="27" t="n"/>
      <c r="Y160" s="28">
        <f>IF(COUNTA(E160:J160,P160:W160)=0,"Not started",IF(COUNTA(E160:J160,P160:W160)&lt;14,"Incomplete",IF((AND(F160&lt;&gt;"",F160&amp;""&lt;&gt;"0",TRIM(K160)="")+AND(G160&lt;&gt;"",G160&amp;""&lt;&gt;"0",TRIM(L160)="")+AND(H160&lt;&gt;"",H160&amp;""&lt;&gt;"0",TRIM(M160)="")+AND(I160&lt;&gt;"",I160&amp;""&lt;&gt;"0",TRIM(N160)="")+AND(J160&lt;&gt;"",J160&amp;""&lt;&gt;"0",TRIM(O160)=""))&gt;0,"Add evidence","Complete")))</f>
        <v/>
      </c>
      <c r="Z160" s="24" t="inlineStr">
        <is>
          <t>7541</t>
        </is>
      </c>
      <c r="AA160" s="24" t="inlineStr">
        <is>
          <t>Underwater Divers</t>
        </is>
      </c>
      <c r="AB160" s="24" t="inlineStr">
        <is>
          <t>754</t>
        </is>
      </c>
      <c r="AC160" s="24" t="inlineStr">
        <is>
          <t>Other Craft and Related Workers</t>
        </is>
      </c>
      <c r="AD160" s="24" t="n">
        <v>7</v>
      </c>
      <c r="AE160" s="24" t="inlineStr">
        <is>
          <t>Craft and Related Trades Workers</t>
        </is>
      </c>
      <c r="AF160" s="24" t="inlineStr">
        <is>
          <t>2</t>
        </is>
      </c>
      <c r="AG160" s="24" t="inlineStr">
        <is>
          <t>7216.20</t>
        </is>
      </c>
      <c r="AH160" s="24" t="n"/>
      <c r="AI160" s="24" t="n"/>
    </row>
    <row r="161" ht="72" customHeight="1">
      <c r="A161" s="24" t="n">
        <v>159</v>
      </c>
      <c r="B161" s="24" t="inlineStr">
        <is>
          <t>7543.0201</t>
        </is>
      </c>
      <c r="C161" s="24" t="inlineStr">
        <is>
          <t>QC Executive-Sewing Line</t>
        </is>
      </c>
      <c r="D161" s="25" t="inlineStr">
        <is>
          <t>QC Executive-Sewing Line is responsible for ensuring that physical inspections are conducted at all stages of production to secure quality and check that all technical details are received; verified and signed off prior to starting production. QC executive also establishes quality plans, parameters and inspection systems, records deviations and sends feedback to the concerned department.</t>
        </is>
      </c>
      <c r="E161" s="26" t="n"/>
      <c r="F161" s="26" t="n"/>
      <c r="G161" s="26" t="n"/>
      <c r="H161" s="26" t="n"/>
      <c r="I161" s="26" t="n"/>
      <c r="J161" s="26" t="n"/>
      <c r="K161" s="27" t="n"/>
      <c r="L161" s="27" t="n"/>
      <c r="M161" s="27" t="n"/>
      <c r="N161" s="27" t="n"/>
      <c r="O161" s="27" t="n"/>
      <c r="P161" s="26" t="n"/>
      <c r="Q161" s="26" t="n"/>
      <c r="R161" s="26" t="n"/>
      <c r="S161" s="26" t="n"/>
      <c r="T161" s="26" t="n"/>
      <c r="U161" s="26" t="n"/>
      <c r="V161" s="26" t="n"/>
      <c r="W161" s="26" t="n"/>
      <c r="X161" s="27" t="n"/>
      <c r="Y161" s="28">
        <f>IF(COUNTA(E161:J161,P161:W161)=0,"Not started",IF(COUNTA(E161:J161,P161:W161)&lt;14,"Incomplete",IF((AND(F161&lt;&gt;"",F161&amp;""&lt;&gt;"0",TRIM(K161)="")+AND(G161&lt;&gt;"",G161&amp;""&lt;&gt;"0",TRIM(L161)="")+AND(H161&lt;&gt;"",H161&amp;""&lt;&gt;"0",TRIM(M161)="")+AND(I161&lt;&gt;"",I161&amp;""&lt;&gt;"0",TRIM(N161)="")+AND(J161&lt;&gt;"",J161&amp;""&lt;&gt;"0",TRIM(O161)=""))&gt;0,"Add evidence","Complete")))</f>
        <v/>
      </c>
      <c r="Z161" s="24" t="inlineStr">
        <is>
          <t>7543</t>
        </is>
      </c>
      <c r="AA161" s="24" t="inlineStr">
        <is>
          <t>Product Graders and Testers (Excluding Food and Beverages)</t>
        </is>
      </c>
      <c r="AB161" s="24" t="inlineStr">
        <is>
          <t>754</t>
        </is>
      </c>
      <c r="AC161" s="24" t="inlineStr">
        <is>
          <t>Other Craft and Related Workers</t>
        </is>
      </c>
      <c r="AD161" s="24" t="n">
        <v>7</v>
      </c>
      <c r="AE161" s="24" t="inlineStr">
        <is>
          <t>Craft and Related Trades Workers</t>
        </is>
      </c>
      <c r="AF161" s="24" t="inlineStr">
        <is>
          <t>2</t>
        </is>
      </c>
      <c r="AG161" s="24" t="n"/>
      <c r="AH161" s="24" t="inlineStr">
        <is>
          <t>AMH/Q1401</t>
        </is>
      </c>
      <c r="AI161" s="24" t="inlineStr">
        <is>
          <t>5</t>
        </is>
      </c>
    </row>
    <row r="162" ht="58.8" customHeight="1">
      <c r="A162" s="24" t="n">
        <v>160</v>
      </c>
      <c r="B162" s="24" t="inlineStr">
        <is>
          <t>7543.0802</t>
        </is>
      </c>
      <c r="C162" s="24" t="inlineStr">
        <is>
          <t>Performance Tester</t>
        </is>
      </c>
      <c r="D162" s="25" t="inlineStr">
        <is>
          <t>Performance Tester checks samples of the final assembled product for key performance parameters under simulated conditions. The individual at work tests performance parameters of UPS, energy meter, PLC and other industrial equipment for a randomly selected sample of products and ensures that they are within acceptable ranges.</t>
        </is>
      </c>
      <c r="E162" s="26" t="n"/>
      <c r="F162" s="26" t="n"/>
      <c r="G162" s="26" t="n"/>
      <c r="H162" s="26" t="n"/>
      <c r="I162" s="26" t="n"/>
      <c r="J162" s="26" t="n"/>
      <c r="K162" s="27" t="n"/>
      <c r="L162" s="27" t="n"/>
      <c r="M162" s="27" t="n"/>
      <c r="N162" s="27" t="n"/>
      <c r="O162" s="27" t="n"/>
      <c r="P162" s="26" t="n"/>
      <c r="Q162" s="26" t="n"/>
      <c r="R162" s="26" t="n"/>
      <c r="S162" s="26" t="n"/>
      <c r="T162" s="26" t="n"/>
      <c r="U162" s="26" t="n"/>
      <c r="V162" s="26" t="n"/>
      <c r="W162" s="26" t="n"/>
      <c r="X162" s="27" t="n"/>
      <c r="Y162" s="28">
        <f>IF(COUNTA(E162:J162,P162:W162)=0,"Not started",IF(COUNTA(E162:J162,P162:W162)&lt;14,"Incomplete",IF((AND(F162&lt;&gt;"",F162&amp;""&lt;&gt;"0",TRIM(K162)="")+AND(G162&lt;&gt;"",G162&amp;""&lt;&gt;"0",TRIM(L162)="")+AND(H162&lt;&gt;"",H162&amp;""&lt;&gt;"0",TRIM(M162)="")+AND(I162&lt;&gt;"",I162&amp;""&lt;&gt;"0",TRIM(N162)="")+AND(J162&lt;&gt;"",J162&amp;""&lt;&gt;"0",TRIM(O162)=""))&gt;0,"Add evidence","Complete")))</f>
        <v/>
      </c>
      <c r="Z162" s="24" t="inlineStr">
        <is>
          <t>7543</t>
        </is>
      </c>
      <c r="AA162" s="24" t="inlineStr">
        <is>
          <t>Product Graders and Testers (Excluding Food and Beverages)</t>
        </is>
      </c>
      <c r="AB162" s="24" t="inlineStr">
        <is>
          <t>754</t>
        </is>
      </c>
      <c r="AC162" s="24" t="inlineStr">
        <is>
          <t>Other Craft and Related Workers</t>
        </is>
      </c>
      <c r="AD162" s="24" t="n">
        <v>7</v>
      </c>
      <c r="AE162" s="24" t="inlineStr">
        <is>
          <t>Craft and Related Trades Workers</t>
        </is>
      </c>
      <c r="AF162" s="24" t="inlineStr">
        <is>
          <t>2</t>
        </is>
      </c>
      <c r="AG162" s="24" t="n"/>
      <c r="AH162" s="24" t="inlineStr">
        <is>
          <t>ELE/Q7402</t>
        </is>
      </c>
      <c r="AI162" s="24" t="inlineStr">
        <is>
          <t>4</t>
        </is>
      </c>
    </row>
    <row r="163" ht="45.59999999999999" customHeight="1">
      <c r="A163" s="24" t="n">
        <v>161</v>
      </c>
      <c r="B163" s="24" t="inlineStr">
        <is>
          <t>7543.0803</t>
        </is>
      </c>
      <c r="C163" s="24" t="inlineStr">
        <is>
          <t>Reliability Tester</t>
        </is>
      </c>
      <c r="D163" s="25" t="inlineStr">
        <is>
          <t>Reliability Tester is responsible for ensuring the long term performance of a product. The individual at work, tests the modules such as power supply or PCB of UPS, inverter, PLC, control panel, and other units under extreme specified conditions to check stress test pass or failure rate.</t>
        </is>
      </c>
      <c r="E163" s="26" t="n"/>
      <c r="F163" s="26" t="n"/>
      <c r="G163" s="26" t="n"/>
      <c r="H163" s="26" t="n"/>
      <c r="I163" s="26" t="n"/>
      <c r="J163" s="26" t="n"/>
      <c r="K163" s="27" t="n"/>
      <c r="L163" s="27" t="n"/>
      <c r="M163" s="27" t="n"/>
      <c r="N163" s="27" t="n"/>
      <c r="O163" s="27" t="n"/>
      <c r="P163" s="26" t="n"/>
      <c r="Q163" s="26" t="n"/>
      <c r="R163" s="26" t="n"/>
      <c r="S163" s="26" t="n"/>
      <c r="T163" s="26" t="n"/>
      <c r="U163" s="26" t="n"/>
      <c r="V163" s="26" t="n"/>
      <c r="W163" s="26" t="n"/>
      <c r="X163" s="27" t="n"/>
      <c r="Y163" s="28">
        <f>IF(COUNTA(E163:J163,P163:W163)=0,"Not started",IF(COUNTA(E163:J163,P163:W163)&lt;14,"Incomplete",IF((AND(F163&lt;&gt;"",F163&amp;""&lt;&gt;"0",TRIM(K163)="")+AND(G163&lt;&gt;"",G163&amp;""&lt;&gt;"0",TRIM(L163)="")+AND(H163&lt;&gt;"",H163&amp;""&lt;&gt;"0",TRIM(M163)="")+AND(I163&lt;&gt;"",I163&amp;""&lt;&gt;"0",TRIM(N163)="")+AND(J163&lt;&gt;"",J163&amp;""&lt;&gt;"0",TRIM(O163)=""))&gt;0,"Add evidence","Complete")))</f>
        <v/>
      </c>
      <c r="Z163" s="24" t="inlineStr">
        <is>
          <t>7543</t>
        </is>
      </c>
      <c r="AA163" s="24" t="inlineStr">
        <is>
          <t>Product Graders and Testers (Excluding Food and Beverages)</t>
        </is>
      </c>
      <c r="AB163" s="24" t="inlineStr">
        <is>
          <t>754</t>
        </is>
      </c>
      <c r="AC163" s="24" t="inlineStr">
        <is>
          <t>Other Craft and Related Workers</t>
        </is>
      </c>
      <c r="AD163" s="24" t="n">
        <v>7</v>
      </c>
      <c r="AE163" s="24" t="inlineStr">
        <is>
          <t>Craft and Related Trades Workers</t>
        </is>
      </c>
      <c r="AF163" s="24" t="inlineStr">
        <is>
          <t>2</t>
        </is>
      </c>
      <c r="AG163" s="24" t="n"/>
      <c r="AH163" s="24" t="inlineStr">
        <is>
          <t>ELE/Q7404</t>
        </is>
      </c>
      <c r="AI163" s="24" t="inlineStr">
        <is>
          <t>3</t>
        </is>
      </c>
    </row>
    <row r="164" ht="58.8" customHeight="1">
      <c r="A164" s="24" t="n">
        <v>162</v>
      </c>
      <c r="B164" s="24" t="inlineStr">
        <is>
          <t>7543.1002</t>
        </is>
      </c>
      <c r="C164" s="24" t="inlineStr">
        <is>
          <t>Functional Tester-TV</t>
        </is>
      </c>
      <c r="D164" s="25" t="inlineStr">
        <is>
          <t>Functional Tester TV is also called, ‘In-line Product Inspector’ the Functional Tester is responsible for quality check during television set assembly. The individual at work tests all the specified functions of each television set assembled on the line. The individual returns any defective product or module to the in-line repair team.</t>
        </is>
      </c>
      <c r="E164" s="26" t="n"/>
      <c r="F164" s="26" t="n"/>
      <c r="G164" s="26" t="n"/>
      <c r="H164" s="26" t="n"/>
      <c r="I164" s="26" t="n"/>
      <c r="J164" s="26" t="n"/>
      <c r="K164" s="27" t="n"/>
      <c r="L164" s="27" t="n"/>
      <c r="M164" s="27" t="n"/>
      <c r="N164" s="27" t="n"/>
      <c r="O164" s="27" t="n"/>
      <c r="P164" s="26" t="n"/>
      <c r="Q164" s="26" t="n"/>
      <c r="R164" s="26" t="n"/>
      <c r="S164" s="26" t="n"/>
      <c r="T164" s="26" t="n"/>
      <c r="U164" s="26" t="n"/>
      <c r="V164" s="26" t="n"/>
      <c r="W164" s="26" t="n"/>
      <c r="X164" s="27" t="n"/>
      <c r="Y164" s="28">
        <f>IF(COUNTA(E164:J164,P164:W164)=0,"Not started",IF(COUNTA(E164:J164,P164:W164)&lt;14,"Incomplete",IF((AND(F164&lt;&gt;"",F164&amp;""&lt;&gt;"0",TRIM(K164)="")+AND(G164&lt;&gt;"",G164&amp;""&lt;&gt;"0",TRIM(L164)="")+AND(H164&lt;&gt;"",H164&amp;""&lt;&gt;"0",TRIM(M164)="")+AND(I164&lt;&gt;"",I164&amp;""&lt;&gt;"0",TRIM(N164)="")+AND(J164&lt;&gt;"",J164&amp;""&lt;&gt;"0",TRIM(O164)=""))&gt;0,"Add evidence","Complete")))</f>
        <v/>
      </c>
      <c r="Z164" s="24" t="inlineStr">
        <is>
          <t>7543</t>
        </is>
      </c>
      <c r="AA164" s="24" t="inlineStr">
        <is>
          <t>Product Graders and Testers (Excluding Food and Beverages)</t>
        </is>
      </c>
      <c r="AB164" s="24" t="inlineStr">
        <is>
          <t>754</t>
        </is>
      </c>
      <c r="AC164" s="24" t="inlineStr">
        <is>
          <t>Other Craft and Related Workers</t>
        </is>
      </c>
      <c r="AD164" s="24" t="n">
        <v>7</v>
      </c>
      <c r="AE164" s="24" t="inlineStr">
        <is>
          <t>Craft and Related Trades Workers</t>
        </is>
      </c>
      <c r="AF164" s="24" t="inlineStr">
        <is>
          <t>2</t>
        </is>
      </c>
      <c r="AG164" s="24" t="n"/>
      <c r="AH164" s="24" t="inlineStr">
        <is>
          <t>ELE/Q3602</t>
        </is>
      </c>
      <c r="AI164" s="24" t="inlineStr">
        <is>
          <t>4</t>
        </is>
      </c>
    </row>
    <row r="165" ht="85.19999999999999" customHeight="1">
      <c r="A165" s="24" t="n">
        <v>163</v>
      </c>
      <c r="B165" s="24" t="inlineStr">
        <is>
          <t>8111.2300</t>
        </is>
      </c>
      <c r="C165" s="24" t="inlineStr">
        <is>
          <t>Shaft Worker</t>
        </is>
      </c>
      <c r="D165" s="25" t="inlineStr">
        <is>
          <t>Shaft Worker maintains cages, pulleys, winding gears, etc. and ensures compliance of regulations for working of hoisting system. Examines shafts and shaft fittings, guide ropes, pulleys, cages, etc. for efficient performance. Checks safety-hooks, safety plate, governor, fencing, brakes, signal, banking lever, head gear, pulleys etc. to ensure smooth working of shaft. Locates faults and undertakes minor repairs and replacements of defective parts as necessary and maintains their records. May perform other fitting operations of general nature.</t>
        </is>
      </c>
      <c r="E165" s="26" t="n"/>
      <c r="F165" s="26" t="n"/>
      <c r="G165" s="26" t="n"/>
      <c r="H165" s="26" t="n"/>
      <c r="I165" s="26" t="n"/>
      <c r="J165" s="26" t="n"/>
      <c r="K165" s="27" t="n"/>
      <c r="L165" s="27" t="n"/>
      <c r="M165" s="27" t="n"/>
      <c r="N165" s="27" t="n"/>
      <c r="O165" s="27" t="n"/>
      <c r="P165" s="26" t="n"/>
      <c r="Q165" s="26" t="n"/>
      <c r="R165" s="26" t="n"/>
      <c r="S165" s="26" t="n"/>
      <c r="T165" s="26" t="n"/>
      <c r="U165" s="26" t="n"/>
      <c r="V165" s="26" t="n"/>
      <c r="W165" s="26" t="n"/>
      <c r="X165" s="27" t="n"/>
      <c r="Y165" s="28">
        <f>IF(COUNTA(E165:J165,P165:W165)=0,"Not started",IF(COUNTA(E165:J165,P165:W165)&lt;14,"Incomplete",IF((AND(F165&lt;&gt;"",F165&amp;""&lt;&gt;"0",TRIM(K165)="")+AND(G165&lt;&gt;"",G165&amp;""&lt;&gt;"0",TRIM(L165)="")+AND(H165&lt;&gt;"",H165&amp;""&lt;&gt;"0",TRIM(M165)="")+AND(I165&lt;&gt;"",I165&amp;""&lt;&gt;"0",TRIM(N165)="")+AND(J165&lt;&gt;"",J165&amp;""&lt;&gt;"0",TRIM(O165)=""))&gt;0,"Add evidence","Complete")))</f>
        <v/>
      </c>
      <c r="Z165" s="24" t="inlineStr">
        <is>
          <t>8111</t>
        </is>
      </c>
      <c r="AA165" s="24" t="inlineStr">
        <is>
          <t>Miners and Quarriers</t>
        </is>
      </c>
      <c r="AB165" s="24" t="inlineStr">
        <is>
          <t>811</t>
        </is>
      </c>
      <c r="AC165" s="24" t="inlineStr">
        <is>
          <t>Mining and Mineral Processing Plant Operators</t>
        </is>
      </c>
      <c r="AD165" s="24" t="n">
        <v>8</v>
      </c>
      <c r="AE165" s="24" t="inlineStr">
        <is>
          <t>Plant and Machine Operators, and Assemblers</t>
        </is>
      </c>
      <c r="AF165" s="24" t="inlineStr">
        <is>
          <t>2</t>
        </is>
      </c>
      <c r="AG165" s="24" t="inlineStr">
        <is>
          <t>7111.75</t>
        </is>
      </c>
      <c r="AH165" s="24" t="n"/>
      <c r="AI165" s="24" t="n"/>
    </row>
    <row r="166" ht="111.6" customHeight="1">
      <c r="A166" s="24" t="n">
        <v>164</v>
      </c>
      <c r="B166" s="24" t="inlineStr">
        <is>
          <t>8121.3000</t>
        </is>
      </c>
      <c r="C166" s="24" t="inlineStr">
        <is>
          <t>Charger, Reverberatory, Pulverised Coal Fired/Reverberatory Furnace Operator</t>
        </is>
      </c>
      <c r="D166" s="25" t="inlineStr">
        <is>
          <t>Charger, Reverberatory Furnace, Pulverized Coal Fired cleans and sets furnace for charging and charges raw material (Scrap iron, pig iron and steel scrap) in to furnace for melting. Removes sticking slag, junk, etc. from furnace by hand tools. Seals holes and doors of furnace (tapping hole, slag door, etc. with clay). Repairs molten metal runner for tapping. Keeps material ready for charging on trolley in front of charging door. Opens charging door and pushes the raw materials into furnace on receipt of instructions from Furnace man, Reverberatory. Closes charging door, seals it and hands over fully charged furnace to furnace man Reverberatory. May do minor repairs of furnace and chimney under guidance of furnace man Reverberatory.</t>
        </is>
      </c>
      <c r="E166" s="26" t="n"/>
      <c r="F166" s="26" t="n"/>
      <c r="G166" s="26" t="n"/>
      <c r="H166" s="26" t="n"/>
      <c r="I166" s="26" t="n"/>
      <c r="J166" s="26" t="n"/>
      <c r="K166" s="27" t="n"/>
      <c r="L166" s="27" t="n"/>
      <c r="M166" s="27" t="n"/>
      <c r="N166" s="27" t="n"/>
      <c r="O166" s="27" t="n"/>
      <c r="P166" s="26" t="n"/>
      <c r="Q166" s="26" t="n"/>
      <c r="R166" s="26" t="n"/>
      <c r="S166" s="26" t="n"/>
      <c r="T166" s="26" t="n"/>
      <c r="U166" s="26" t="n"/>
      <c r="V166" s="26" t="n"/>
      <c r="W166" s="26" t="n"/>
      <c r="X166" s="27" t="n"/>
      <c r="Y166" s="28">
        <f>IF(COUNTA(E166:J166,P166:W166)=0,"Not started",IF(COUNTA(E166:J166,P166:W166)&lt;14,"Incomplete",IF((AND(F166&lt;&gt;"",F166&amp;""&lt;&gt;"0",TRIM(K166)="")+AND(G166&lt;&gt;"",G166&amp;""&lt;&gt;"0",TRIM(L166)="")+AND(H166&lt;&gt;"",H166&amp;""&lt;&gt;"0",TRIM(M166)="")+AND(I166&lt;&gt;"",I166&amp;""&lt;&gt;"0",TRIM(N166)="")+AND(J166&lt;&gt;"",J166&amp;""&lt;&gt;"0",TRIM(O166)=""))&gt;0,"Add evidence","Complete")))</f>
        <v/>
      </c>
      <c r="Z166" s="24" t="inlineStr">
        <is>
          <t>8121</t>
        </is>
      </c>
      <c r="AA166" s="24" t="inlineStr">
        <is>
          <t>Metal Processing Plant Operators</t>
        </is>
      </c>
      <c r="AB166" s="24" t="inlineStr">
        <is>
          <t>812</t>
        </is>
      </c>
      <c r="AC166" s="24" t="inlineStr">
        <is>
          <t>Metal Processing and Finishing Plant Operators</t>
        </is>
      </c>
      <c r="AD166" s="24" t="n">
        <v>8</v>
      </c>
      <c r="AE166" s="24" t="inlineStr">
        <is>
          <t>Plant and Machine Operators, and Assemblers</t>
        </is>
      </c>
      <c r="AF166" s="24" t="inlineStr">
        <is>
          <t>2</t>
        </is>
      </c>
      <c r="AG166" s="24" t="inlineStr">
        <is>
          <t>8122.50</t>
        </is>
      </c>
      <c r="AH166" s="24" t="n"/>
      <c r="AI166" s="24" t="n"/>
    </row>
    <row r="167" ht="98.39999999999999" customHeight="1">
      <c r="A167" s="24" t="n">
        <v>165</v>
      </c>
      <c r="B167" s="24" t="inlineStr">
        <is>
          <t>8131.0300</t>
        </is>
      </c>
      <c r="C167" s="24" t="inlineStr">
        <is>
          <t>Pulveriser Operator, Chemical</t>
        </is>
      </c>
      <c r="D167" s="25" t="inlineStr">
        <is>
          <t>Pulveriser Operator, Chemical; Disintegrator Attendant, Chemical feeds and tends power-driven pulverising machine to reduce crushed chemicals or other material into fine particles or dust. Collects material; fixes screen to machine according to fineness of powder particles to be produced. Starts machine and feeds material into machine to pulverize kit to fine powder. Observes disintegrating process, takes samples of pulverised material, and ensures that required fineness is being obtained. Discharges disintegrated material into outlet container; cleans machine and work area.</t>
        </is>
      </c>
      <c r="E167" s="26" t="n"/>
      <c r="F167" s="26" t="n"/>
      <c r="G167" s="26" t="n"/>
      <c r="H167" s="26" t="n"/>
      <c r="I167" s="26" t="n"/>
      <c r="J167" s="26" t="n"/>
      <c r="K167" s="27" t="n"/>
      <c r="L167" s="27" t="n"/>
      <c r="M167" s="27" t="n"/>
      <c r="N167" s="27" t="n"/>
      <c r="O167" s="27" t="n"/>
      <c r="P167" s="26" t="n"/>
      <c r="Q167" s="26" t="n"/>
      <c r="R167" s="26" t="n"/>
      <c r="S167" s="26" t="n"/>
      <c r="T167" s="26" t="n"/>
      <c r="U167" s="26" t="n"/>
      <c r="V167" s="26" t="n"/>
      <c r="W167" s="26" t="n"/>
      <c r="X167" s="27" t="n"/>
      <c r="Y167" s="28">
        <f>IF(COUNTA(E167:J167,P167:W167)=0,"Not started",IF(COUNTA(E167:J167,P167:W167)&lt;14,"Incomplete",IF((AND(F167&lt;&gt;"",F167&amp;""&lt;&gt;"0",TRIM(K167)="")+AND(G167&lt;&gt;"",G167&amp;""&lt;&gt;"0",TRIM(L167)="")+AND(H167&lt;&gt;"",H167&amp;""&lt;&gt;"0",TRIM(M167)="")+AND(I167&lt;&gt;"",I167&amp;""&lt;&gt;"0",TRIM(N167)="")+AND(J167&lt;&gt;"",J167&amp;""&lt;&gt;"0",TRIM(O167)=""))&gt;0,"Add evidence","Complete")))</f>
        <v/>
      </c>
      <c r="Z167" s="24" t="inlineStr">
        <is>
          <t>8131</t>
        </is>
      </c>
      <c r="AA167" s="24" t="inlineStr">
        <is>
          <t>Chemical Products Plant and Machine Operators</t>
        </is>
      </c>
      <c r="AB167" s="24" t="inlineStr">
        <is>
          <t>813</t>
        </is>
      </c>
      <c r="AC167" s="24" t="inlineStr">
        <is>
          <t>Chemical and Photographic Products Plant and Machine Operators</t>
        </is>
      </c>
      <c r="AD167" s="24" t="n">
        <v>8</v>
      </c>
      <c r="AE167" s="24" t="inlineStr">
        <is>
          <t>Plant and Machine Operators, and Assemblers</t>
        </is>
      </c>
      <c r="AF167" s="24" t="inlineStr">
        <is>
          <t>2</t>
        </is>
      </c>
      <c r="AG167" s="24" t="inlineStr">
        <is>
          <t>8151.30</t>
        </is>
      </c>
      <c r="AH167" s="24" t="n"/>
      <c r="AI167" s="24" t="n"/>
    </row>
    <row r="168" ht="98.39999999999999" customHeight="1">
      <c r="A168" s="24" t="n">
        <v>166</v>
      </c>
      <c r="B168" s="24" t="inlineStr">
        <is>
          <t>8131.7100</t>
        </is>
      </c>
      <c r="C168" s="24" t="inlineStr">
        <is>
          <t>Tablet Coater</t>
        </is>
      </c>
      <c r="D168" s="25" t="inlineStr">
        <is>
          <t>Tablet Coater; Pill Coater coats compressed tablets or pills with syrup or other substance to preserve ingredients and make them palatable. Fills coating pot or pan of machine with tablets or pills. Pours measured quantity of syrup or other coating substance on tablets and starts pot revolving to coat tablets with syrup or coating substance. Operates machine to rotate pot for required time to ensure even coating. Checks that tablets are coated; adds powder that adheres to tablets polish surface of coated tablets by rotating them in wax-coated churn. May coat pills with powdered sugar, French chalk (pearl coating) or sulphur.</t>
        </is>
      </c>
      <c r="E168" s="26" t="n"/>
      <c r="F168" s="26" t="n"/>
      <c r="G168" s="26" t="n"/>
      <c r="H168" s="26" t="n"/>
      <c r="I168" s="26" t="n"/>
      <c r="J168" s="26" t="n"/>
      <c r="K168" s="27" t="n"/>
      <c r="L168" s="27" t="n"/>
      <c r="M168" s="27" t="n"/>
      <c r="N168" s="27" t="n"/>
      <c r="O168" s="27" t="n"/>
      <c r="P168" s="26" t="n"/>
      <c r="Q168" s="26" t="n"/>
      <c r="R168" s="26" t="n"/>
      <c r="S168" s="26" t="n"/>
      <c r="T168" s="26" t="n"/>
      <c r="U168" s="26" t="n"/>
      <c r="V168" s="26" t="n"/>
      <c r="W168" s="26" t="n"/>
      <c r="X168" s="27" t="n"/>
      <c r="Y168" s="28">
        <f>IF(COUNTA(E168:J168,P168:W168)=0,"Not started",IF(COUNTA(E168:J168,P168:W168)&lt;14,"Incomplete",IF((AND(F168&lt;&gt;"",F168&amp;""&lt;&gt;"0",TRIM(K168)="")+AND(G168&lt;&gt;"",G168&amp;""&lt;&gt;"0",TRIM(L168)="")+AND(H168&lt;&gt;"",H168&amp;""&lt;&gt;"0",TRIM(M168)="")+AND(I168&lt;&gt;"",I168&amp;""&lt;&gt;"0",TRIM(N168)="")+AND(J168&lt;&gt;"",J168&amp;""&lt;&gt;"0",TRIM(O168)=""))&gt;0,"Add evidence","Complete")))</f>
        <v/>
      </c>
      <c r="Z168" s="24" t="inlineStr">
        <is>
          <t>8131</t>
        </is>
      </c>
      <c r="AA168" s="24" t="inlineStr">
        <is>
          <t>Chemical Products Plant and Machine Operators</t>
        </is>
      </c>
      <c r="AB168" s="24" t="inlineStr">
        <is>
          <t>813</t>
        </is>
      </c>
      <c r="AC168" s="24" t="inlineStr">
        <is>
          <t>Chemical and Photographic Products Plant and Machine Operators</t>
        </is>
      </c>
      <c r="AD168" s="24" t="n">
        <v>8</v>
      </c>
      <c r="AE168" s="24" t="inlineStr">
        <is>
          <t>Plant and Machine Operators, and Assemblers</t>
        </is>
      </c>
      <c r="AF168" s="24" t="inlineStr">
        <is>
          <t>2</t>
        </is>
      </c>
      <c r="AG168" s="24" t="inlineStr">
        <is>
          <t>8159.64</t>
        </is>
      </c>
      <c r="AH168" s="24" t="n"/>
      <c r="AI168" s="24" t="n"/>
    </row>
    <row r="169" ht="32.4" customHeight="1">
      <c r="A169" s="24" t="n">
        <v>167</v>
      </c>
      <c r="B169" s="24" t="inlineStr">
        <is>
          <t>8141.0101</t>
        </is>
      </c>
      <c r="C169" s="24" t="inlineStr">
        <is>
          <t>Pre and Post Calendering Operator</t>
        </is>
      </c>
      <c r="D169" s="25" t="inlineStr">
        <is>
          <t>Pre and Post Calendering Operator is responsible for feeding the correct quantity of compound to the Calender rolls.</t>
        </is>
      </c>
      <c r="E169" s="26" t="n"/>
      <c r="F169" s="26" t="n"/>
      <c r="G169" s="26" t="n"/>
      <c r="H169" s="26" t="n"/>
      <c r="I169" s="26" t="n"/>
      <c r="J169" s="26" t="n"/>
      <c r="K169" s="27" t="n"/>
      <c r="L169" s="27" t="n"/>
      <c r="M169" s="27" t="n"/>
      <c r="N169" s="27" t="n"/>
      <c r="O169" s="27" t="n"/>
      <c r="P169" s="26" t="n"/>
      <c r="Q169" s="26" t="n"/>
      <c r="R169" s="26" t="n"/>
      <c r="S169" s="26" t="n"/>
      <c r="T169" s="26" t="n"/>
      <c r="U169" s="26" t="n"/>
      <c r="V169" s="26" t="n"/>
      <c r="W169" s="26" t="n"/>
      <c r="X169" s="27" t="n"/>
      <c r="Y169" s="28">
        <f>IF(COUNTA(E169:J169,P169:W169)=0,"Not started",IF(COUNTA(E169:J169,P169:W169)&lt;14,"Incomplete",IF((AND(F169&lt;&gt;"",F169&amp;""&lt;&gt;"0",TRIM(K169)="")+AND(G169&lt;&gt;"",G169&amp;""&lt;&gt;"0",TRIM(L169)="")+AND(H169&lt;&gt;"",H169&amp;""&lt;&gt;"0",TRIM(M169)="")+AND(I169&lt;&gt;"",I169&amp;""&lt;&gt;"0",TRIM(N169)="")+AND(J169&lt;&gt;"",J169&amp;""&lt;&gt;"0",TRIM(O169)=""))&gt;0,"Add evidence","Complete")))</f>
        <v/>
      </c>
      <c r="Z169" s="24" t="inlineStr">
        <is>
          <t>8141</t>
        </is>
      </c>
      <c r="AA169" s="24" t="inlineStr">
        <is>
          <t>Rubber Products Machine Operators</t>
        </is>
      </c>
      <c r="AB169" s="24" t="inlineStr">
        <is>
          <t>814</t>
        </is>
      </c>
      <c r="AC169" s="24" t="inlineStr">
        <is>
          <t>Rubber, Plastic and Paper Products Machine Operators</t>
        </is>
      </c>
      <c r="AD169" s="24" t="n">
        <v>8</v>
      </c>
      <c r="AE169" s="24" t="inlineStr">
        <is>
          <t>Plant and Machine Operators, and Assemblers</t>
        </is>
      </c>
      <c r="AF169" s="24" t="inlineStr">
        <is>
          <t>2</t>
        </is>
      </c>
      <c r="AG169" s="24" t="n"/>
      <c r="AH169" s="24" t="inlineStr">
        <is>
          <t>RSC/Q0729</t>
        </is>
      </c>
      <c r="AI169" s="24" t="inlineStr">
        <is>
          <t>4</t>
        </is>
      </c>
    </row>
    <row r="170" ht="111.6" customHeight="1">
      <c r="A170" s="24" t="n">
        <v>168</v>
      </c>
      <c r="B170" s="24" t="inlineStr">
        <is>
          <t>8141.1301</t>
        </is>
      </c>
      <c r="C170" s="24" t="inlineStr">
        <is>
          <t>Calenderer Rubberised Fabric/Operator-Textile Coating</t>
        </is>
      </c>
      <c r="D170" s="25" t="inlineStr">
        <is>
          <t>Calenderer, Rubberised Fabric Operator-Textile Coating warms rubber compound between mill rollers, passes fabric between calender rollers, feeding with rubber to give rubber coating on surface of fabrics. Adjusts steam valves to regulate heat of machine rollers; charges fabric to be rubber-coated between rollers; sews ends of cloth rolls together and threads fabric through rollers to form continuous sheet; inspects sheet to detect turned edges, material defects; smoothens wrinkles and repairs holes, faulty seams, or frayed edges; starts machine and feeds it with chunks of rubber; tests with gauge thickness of rubberised fabric and makes necessary adjustments; examines thickness of coated sheets. May work as Calender Machine Operator, Rubber.</t>
        </is>
      </c>
      <c r="E170" s="26" t="n"/>
      <c r="F170" s="26" t="n"/>
      <c r="G170" s="26" t="n"/>
      <c r="H170" s="26" t="n"/>
      <c r="I170" s="26" t="n"/>
      <c r="J170" s="26" t="n"/>
      <c r="K170" s="27" t="n"/>
      <c r="L170" s="27" t="n"/>
      <c r="M170" s="27" t="n"/>
      <c r="N170" s="27" t="n"/>
      <c r="O170" s="27" t="n"/>
      <c r="P170" s="26" t="n"/>
      <c r="Q170" s="26" t="n"/>
      <c r="R170" s="26" t="n"/>
      <c r="S170" s="26" t="n"/>
      <c r="T170" s="26" t="n"/>
      <c r="U170" s="26" t="n"/>
      <c r="V170" s="26" t="n"/>
      <c r="W170" s="26" t="n"/>
      <c r="X170" s="27" t="n"/>
      <c r="Y170" s="28">
        <f>IF(COUNTA(E170:J170,P170:W170)=0,"Not started",IF(COUNTA(E170:J170,P170:W170)&lt;14,"Incomplete",IF((AND(F170&lt;&gt;"",F170&amp;""&lt;&gt;"0",TRIM(K170)="")+AND(G170&lt;&gt;"",G170&amp;""&lt;&gt;"0",TRIM(L170)="")+AND(H170&lt;&gt;"",H170&amp;""&lt;&gt;"0",TRIM(M170)="")+AND(I170&lt;&gt;"",I170&amp;""&lt;&gt;"0",TRIM(N170)="")+AND(J170&lt;&gt;"",J170&amp;""&lt;&gt;"0",TRIM(O170)=""))&gt;0,"Add evidence","Complete")))</f>
        <v/>
      </c>
      <c r="Z170" s="24" t="inlineStr">
        <is>
          <t>8141</t>
        </is>
      </c>
      <c r="AA170" s="24" t="inlineStr">
        <is>
          <t>Rubber Products Machine Operators</t>
        </is>
      </c>
      <c r="AB170" s="24" t="inlineStr">
        <is>
          <t>814</t>
        </is>
      </c>
      <c r="AC170" s="24" t="inlineStr">
        <is>
          <t>Rubber, Plastic and Paper Products Machine Operators</t>
        </is>
      </c>
      <c r="AD170" s="24" t="n">
        <v>8</v>
      </c>
      <c r="AE170" s="24" t="inlineStr">
        <is>
          <t>Plant and Machine Operators, and Assemblers</t>
        </is>
      </c>
      <c r="AF170" s="24" t="inlineStr">
        <is>
          <t>2</t>
        </is>
      </c>
      <c r="AG170" s="24" t="inlineStr">
        <is>
          <t>8231.70</t>
        </is>
      </c>
      <c r="AH170" s="24" t="inlineStr">
        <is>
          <t>RSC/Q 0728</t>
        </is>
      </c>
      <c r="AI170" s="24" t="inlineStr">
        <is>
          <t>4</t>
        </is>
      </c>
    </row>
    <row r="171" ht="111.6" customHeight="1">
      <c r="A171" s="24" t="n">
        <v>169</v>
      </c>
      <c r="B171" s="24" t="inlineStr">
        <is>
          <t>8151.0500</t>
        </is>
      </c>
      <c r="C171" s="24" t="inlineStr">
        <is>
          <t>Combing Tenter</t>
        </is>
      </c>
      <c r="D171" s="25" t="inlineStr">
        <is>
          <t>Combing Tenter; Comberman (Cotton Textile) tends combing machine for combing or separating short fibres from long ones and converting lap into sliver preparatory to drawing. Places lap rolls or spools in proper position on creel of combing machine. Pulls out and leads ends of lap through assembly on to feedrolls. Sets calender rollers to position and starts machine. Watches running of sliver through machine. Detects and joins broken ends of sliver. Removes surplus sliver after stopping machine to avoid jamming and when necessary. Leads web coming through funnel like guide into can at delivery end and replaces filled can with empties. Removes waste sliver rolls from back of machine to specified place or to waste bag. Cleans and oils machine.</t>
        </is>
      </c>
      <c r="E171" s="26" t="n"/>
      <c r="F171" s="26" t="n"/>
      <c r="G171" s="26" t="n"/>
      <c r="H171" s="26" t="n"/>
      <c r="I171" s="26" t="n"/>
      <c r="J171" s="26" t="n"/>
      <c r="K171" s="27" t="n"/>
      <c r="L171" s="27" t="n"/>
      <c r="M171" s="27" t="n"/>
      <c r="N171" s="27" t="n"/>
      <c r="O171" s="27" t="n"/>
      <c r="P171" s="26" t="n"/>
      <c r="Q171" s="26" t="n"/>
      <c r="R171" s="26" t="n"/>
      <c r="S171" s="26" t="n"/>
      <c r="T171" s="26" t="n"/>
      <c r="U171" s="26" t="n"/>
      <c r="V171" s="26" t="n"/>
      <c r="W171" s="26" t="n"/>
      <c r="X171" s="27" t="n"/>
      <c r="Y171" s="28">
        <f>IF(COUNTA(E171:J171,P171:W171)=0,"Not started",IF(COUNTA(E171:J171,P171:W171)&lt;14,"Incomplete",IF((AND(F171&lt;&gt;"",F171&amp;""&lt;&gt;"0",TRIM(K171)="")+AND(G171&lt;&gt;"",G171&amp;""&lt;&gt;"0",TRIM(L171)="")+AND(H171&lt;&gt;"",H171&amp;""&lt;&gt;"0",TRIM(M171)="")+AND(I171&lt;&gt;"",I171&amp;""&lt;&gt;"0",TRIM(N171)="")+AND(J171&lt;&gt;"",J171&amp;""&lt;&gt;"0",TRIM(O171)=""))&gt;0,"Add evidence","Complete")))</f>
        <v/>
      </c>
      <c r="Z171" s="24" t="inlineStr">
        <is>
          <t>8151</t>
        </is>
      </c>
      <c r="AA171" s="24" t="inlineStr">
        <is>
          <t>Fibre Preparing, Spinning and Winding Machine Operators</t>
        </is>
      </c>
      <c r="AB171" s="24" t="inlineStr">
        <is>
          <t>815</t>
        </is>
      </c>
      <c r="AC171" s="24" t="inlineStr">
        <is>
          <t>Textile, Fur and Leather Products Machine Operators</t>
        </is>
      </c>
      <c r="AD171" s="24" t="n">
        <v>8</v>
      </c>
      <c r="AE171" s="24" t="inlineStr">
        <is>
          <t>Plant and Machine Operators, and Assemblers</t>
        </is>
      </c>
      <c r="AF171" s="24" t="inlineStr">
        <is>
          <t>2</t>
        </is>
      </c>
      <c r="AG171" s="24" t="inlineStr">
        <is>
          <t>8261.30</t>
        </is>
      </c>
      <c r="AH171" s="24" t="n"/>
      <c r="AI171" s="24" t="n"/>
    </row>
    <row r="172" ht="217.2" customHeight="1">
      <c r="A172" s="24" t="n">
        <v>170</v>
      </c>
      <c r="B172" s="24" t="inlineStr">
        <is>
          <t>8154.1100</t>
        </is>
      </c>
      <c r="C172" s="24" t="inlineStr">
        <is>
          <t>Dye Automation Operator (Textile)/Dyeing Machine Operator</t>
        </is>
      </c>
      <c r="D172" s="25" t="inlineStr">
        <is>
          <t>Dye Automation Operator (Textile) controls and monitors programmed electronic equipment to bleach, dye, and finish cotton and synthetic sewing threads: Confers with Operator of dye machines to obtain information needed to process customer orders, and records data, such as number of dyeing machines to be used, production order numbers, and colour numbers specified for dye orders. Selects programmed procedures based on knowledge of dyeing processes and familiarity with affinity of dyes to specific thread types. Depresses keys of data-entry unit to enter required data into computer. Observes display screen to verify data entered, to ascertain computer response to instruction entered, and to determine compliance with procedural steps. Depresses keys to edit instructions when necessary and to input answers for primary or alternate steps in procedure. Hangs tags on dye board, during shift, to indicate steps in dyeing process for each machine. Confers with workers to determine reasons for delays in dyeing process, and examines dyeing machines and equipment to ascertain reason for malfunctions. Notifies supervisor of malfunctions, and records reasons for delays in log. Receives instructions from supervisor, such as alteration of dyeing temperature, omission of specific steps in dyeing process, or repetition of specific steps. Keys in dyeing instruction changes. Confers with Operator on previous shift to ascertain drying steps to complete dyeing in progress.</t>
        </is>
      </c>
      <c r="E172" s="26" t="n"/>
      <c r="F172" s="26" t="n"/>
      <c r="G172" s="26" t="n"/>
      <c r="H172" s="26" t="n"/>
      <c r="I172" s="26" t="n"/>
      <c r="J172" s="26" t="n"/>
      <c r="K172" s="27" t="n"/>
      <c r="L172" s="27" t="n"/>
      <c r="M172" s="27" t="n"/>
      <c r="N172" s="27" t="n"/>
      <c r="O172" s="27" t="n"/>
      <c r="P172" s="26" t="n"/>
      <c r="Q172" s="26" t="n"/>
      <c r="R172" s="26" t="n"/>
      <c r="S172" s="26" t="n"/>
      <c r="T172" s="26" t="n"/>
      <c r="U172" s="26" t="n"/>
      <c r="V172" s="26" t="n"/>
      <c r="W172" s="26" t="n"/>
      <c r="X172" s="27" t="n"/>
      <c r="Y172" s="28">
        <f>IF(COUNTA(E172:J172,P172:W172)=0,"Not started",IF(COUNTA(E172:J172,P172:W172)&lt;14,"Incomplete",IF((AND(F172&lt;&gt;"",F172&amp;""&lt;&gt;"0",TRIM(K172)="")+AND(G172&lt;&gt;"",G172&amp;""&lt;&gt;"0",TRIM(L172)="")+AND(H172&lt;&gt;"",H172&amp;""&lt;&gt;"0",TRIM(M172)="")+AND(I172&lt;&gt;"",I172&amp;""&lt;&gt;"0",TRIM(N172)="")+AND(J172&lt;&gt;"",J172&amp;""&lt;&gt;"0",TRIM(O172)=""))&gt;0,"Add evidence","Complete")))</f>
        <v/>
      </c>
      <c r="Z172" s="24" t="inlineStr">
        <is>
          <t>8154</t>
        </is>
      </c>
      <c r="AA172" s="24" t="inlineStr">
        <is>
          <t>Bleaching, Dyeing and Cleaning Machine Operators</t>
        </is>
      </c>
      <c r="AB172" s="24" t="inlineStr">
        <is>
          <t>815</t>
        </is>
      </c>
      <c r="AC172" s="24" t="inlineStr">
        <is>
          <t>Textile, Fur and Leather Products Machine Operators</t>
        </is>
      </c>
      <c r="AD172" s="24" t="n">
        <v>8</v>
      </c>
      <c r="AE172" s="24" t="inlineStr">
        <is>
          <t>Plant and Machine Operators, and Assemblers</t>
        </is>
      </c>
      <c r="AF172" s="24" t="inlineStr">
        <is>
          <t>2</t>
        </is>
      </c>
      <c r="AG172" s="24" t="inlineStr">
        <is>
          <t>8264.69</t>
        </is>
      </c>
      <c r="AH172" s="24" t="n"/>
      <c r="AI172" s="24" t="n"/>
    </row>
    <row r="173" ht="85.19999999999999" customHeight="1">
      <c r="A173" s="24" t="n">
        <v>171</v>
      </c>
      <c r="B173" s="24" t="inlineStr">
        <is>
          <t>8154.2100</t>
        </is>
      </c>
      <c r="C173" s="24" t="inlineStr">
        <is>
          <t>Stentering Machine Man/Stentering Operator</t>
        </is>
      </c>
      <c r="D173" s="25" t="inlineStr">
        <is>
          <t>Stentering Machine Man; Tenter Machine Man; Tentering Machine Man (Textile) tends stentering machine or frame which dries and restores original width of cloth after dyeing, washing or finishing. Adjusts stenter frames according to width of cloth. Starts machine. Ensures that cloth passes through machine without damage from stenter clips and is properly stretched. May be known as ASSISTANT STENTERING MACHINE MAN or BACK STENTERING MACHINE MAN if working at delivery end of machine. Cleans and oils machine.</t>
        </is>
      </c>
      <c r="E173" s="26" t="n"/>
      <c r="F173" s="26" t="n"/>
      <c r="G173" s="26" t="n"/>
      <c r="H173" s="26" t="n"/>
      <c r="I173" s="26" t="n"/>
      <c r="J173" s="26" t="n"/>
      <c r="K173" s="27" t="n"/>
      <c r="L173" s="27" t="n"/>
      <c r="M173" s="27" t="n"/>
      <c r="N173" s="27" t="n"/>
      <c r="O173" s="27" t="n"/>
      <c r="P173" s="26" t="n"/>
      <c r="Q173" s="26" t="n"/>
      <c r="R173" s="26" t="n"/>
      <c r="S173" s="26" t="n"/>
      <c r="T173" s="26" t="n"/>
      <c r="U173" s="26" t="n"/>
      <c r="V173" s="26" t="n"/>
      <c r="W173" s="26" t="n"/>
      <c r="X173" s="27" t="n"/>
      <c r="Y173" s="28">
        <f>IF(COUNTA(E173:J173,P173:W173)=0,"Not started",IF(COUNTA(E173:J173,P173:W173)&lt;14,"Incomplete",IF((AND(F173&lt;&gt;"",F173&amp;""&lt;&gt;"0",TRIM(K173)="")+AND(G173&lt;&gt;"",G173&amp;""&lt;&gt;"0",TRIM(L173)="")+AND(H173&lt;&gt;"",H173&amp;""&lt;&gt;"0",TRIM(M173)="")+AND(I173&lt;&gt;"",I173&amp;""&lt;&gt;"0",TRIM(N173)="")+AND(J173&lt;&gt;"",J173&amp;""&lt;&gt;"0",TRIM(O173)=""))&gt;0,"Add evidence","Complete")))</f>
        <v/>
      </c>
      <c r="Z173" s="24" t="inlineStr">
        <is>
          <t>8154</t>
        </is>
      </c>
      <c r="AA173" s="24" t="inlineStr">
        <is>
          <t>Bleaching, Dyeing and Cleaning Machine Operators</t>
        </is>
      </c>
      <c r="AB173" s="24" t="inlineStr">
        <is>
          <t>815</t>
        </is>
      </c>
      <c r="AC173" s="24" t="inlineStr">
        <is>
          <t>Textile, Fur and Leather Products Machine Operators</t>
        </is>
      </c>
      <c r="AD173" s="24" t="n">
        <v>8</v>
      </c>
      <c r="AE173" s="24" t="inlineStr">
        <is>
          <t>Plant and Machine Operators, and Assemblers</t>
        </is>
      </c>
      <c r="AF173" s="24" t="inlineStr">
        <is>
          <t>2</t>
        </is>
      </c>
      <c r="AG173" s="24" t="inlineStr">
        <is>
          <t>8264.81</t>
        </is>
      </c>
      <c r="AH173" s="24" t="n"/>
      <c r="AI173" s="24" t="n"/>
    </row>
    <row r="174" ht="98.39999999999999" customHeight="1">
      <c r="A174" s="24" t="n">
        <v>172</v>
      </c>
      <c r="B174" s="24" t="inlineStr">
        <is>
          <t>8154.2700</t>
        </is>
      </c>
      <c r="C174" s="24" t="inlineStr">
        <is>
          <t>Singeing Machine Man/Singeing Machine Operator</t>
        </is>
      </c>
      <c r="D174" s="25" t="inlineStr">
        <is>
          <t>Singeing Machine Man; Singeing Man (Textile) tends singeing machine to burn fluff and rough protruding fibres on cloth to get better finish. Adjusts cloth roll at feed-end of machine. Runs loose end of cloth through guides and feeds it through rollers. Lights burners in machine and regulates flow of gas to obtain desired flame. Starts machine and observes cloth as it runs over burner flames. Avoids scorching of cloth, ensuring burning of fluff and unwanted threads and better finish to it. Adjust machine where necessary for creaseless flow and proper singeing of cloth. Cleans and oils machine.</t>
        </is>
      </c>
      <c r="E174" s="26" t="n"/>
      <c r="F174" s="26" t="n"/>
      <c r="G174" s="26" t="n"/>
      <c r="H174" s="26" t="n"/>
      <c r="I174" s="26" t="n"/>
      <c r="J174" s="26" t="n"/>
      <c r="K174" s="27" t="n"/>
      <c r="L174" s="27" t="n"/>
      <c r="M174" s="27" t="n"/>
      <c r="N174" s="27" t="n"/>
      <c r="O174" s="27" t="n"/>
      <c r="P174" s="26" t="n"/>
      <c r="Q174" s="26" t="n"/>
      <c r="R174" s="26" t="n"/>
      <c r="S174" s="26" t="n"/>
      <c r="T174" s="26" t="n"/>
      <c r="U174" s="26" t="n"/>
      <c r="V174" s="26" t="n"/>
      <c r="W174" s="26" t="n"/>
      <c r="X174" s="27" t="n"/>
      <c r="Y174" s="28">
        <f>IF(COUNTA(E174:J174,P174:W174)=0,"Not started",IF(COUNTA(E174:J174,P174:W174)&lt;14,"Incomplete",IF((AND(F174&lt;&gt;"",F174&amp;""&lt;&gt;"0",TRIM(K174)="")+AND(G174&lt;&gt;"",G174&amp;""&lt;&gt;"0",TRIM(L174)="")+AND(H174&lt;&gt;"",H174&amp;""&lt;&gt;"0",TRIM(M174)="")+AND(I174&lt;&gt;"",I174&amp;""&lt;&gt;"0",TRIM(N174)="")+AND(J174&lt;&gt;"",J174&amp;""&lt;&gt;"0",TRIM(O174)=""))&gt;0,"Add evidence","Complete")))</f>
        <v/>
      </c>
      <c r="Z174" s="24" t="inlineStr">
        <is>
          <t>8154</t>
        </is>
      </c>
      <c r="AA174" s="24" t="inlineStr">
        <is>
          <t>Bleaching, Dyeing and Cleaning Machine Operators</t>
        </is>
      </c>
      <c r="AB174" s="24" t="inlineStr">
        <is>
          <t>815</t>
        </is>
      </c>
      <c r="AC174" s="24" t="inlineStr">
        <is>
          <t>Textile, Fur and Leather Products Machine Operators</t>
        </is>
      </c>
      <c r="AD174" s="24" t="n">
        <v>8</v>
      </c>
      <c r="AE174" s="24" t="inlineStr">
        <is>
          <t>Plant and Machine Operators, and Assemblers</t>
        </is>
      </c>
      <c r="AF174" s="24" t="inlineStr">
        <is>
          <t>2</t>
        </is>
      </c>
      <c r="AG174" s="24" t="inlineStr">
        <is>
          <t>8264.87</t>
        </is>
      </c>
      <c r="AH174" s="24" t="n"/>
      <c r="AI174" s="24" t="n"/>
    </row>
    <row r="175" ht="111.6" customHeight="1">
      <c r="A175" s="24" t="n">
        <v>173</v>
      </c>
      <c r="B175" s="24" t="inlineStr">
        <is>
          <t>8156.2100</t>
        </is>
      </c>
      <c r="C175" s="24" t="inlineStr">
        <is>
          <t>Trimmer, Machine</t>
        </is>
      </c>
      <c r="D175" s="25" t="inlineStr">
        <is>
          <t>Trimmer, Machine; Machine Trimmer (Footwear) operates trimming machine to smoothen and trim various parts of shoe. Examines parts of shoe by sight to determine extent of trimming required. Sets proper cutting tool in holding disc of trimming machine. Switches on machine. Holds shoe with both hands and manipulates edges to be trimmed against revolving cutter to trim surplus portions and make surface even. Ensures accurate trimming to avoid damage to other parts of shoe. Cleans and oils machine and gets defects removed if any. May change and grind blunt tools. May operate scouring or sand paper machine to give finishing touches to various parts of shoe. May do trimming by hand.</t>
        </is>
      </c>
      <c r="E175" s="26" t="n"/>
      <c r="F175" s="26" t="n"/>
      <c r="G175" s="26" t="n"/>
      <c r="H175" s="26" t="n"/>
      <c r="I175" s="26" t="n"/>
      <c r="J175" s="26" t="n"/>
      <c r="K175" s="27" t="n"/>
      <c r="L175" s="27" t="n"/>
      <c r="M175" s="27" t="n"/>
      <c r="N175" s="27" t="n"/>
      <c r="O175" s="27" t="n"/>
      <c r="P175" s="26" t="n"/>
      <c r="Q175" s="26" t="n"/>
      <c r="R175" s="26" t="n"/>
      <c r="S175" s="26" t="n"/>
      <c r="T175" s="26" t="n"/>
      <c r="U175" s="26" t="n"/>
      <c r="V175" s="26" t="n"/>
      <c r="W175" s="26" t="n"/>
      <c r="X175" s="27" t="n"/>
      <c r="Y175" s="28">
        <f>IF(COUNTA(E175:J175,P175:W175)=0,"Not started",IF(COUNTA(E175:J175,P175:W175)&lt;14,"Incomplete",IF((AND(F175&lt;&gt;"",F175&amp;""&lt;&gt;"0",TRIM(K175)="")+AND(G175&lt;&gt;"",G175&amp;""&lt;&gt;"0",TRIM(L175)="")+AND(H175&lt;&gt;"",H175&amp;""&lt;&gt;"0",TRIM(M175)="")+AND(I175&lt;&gt;"",I175&amp;""&lt;&gt;"0",TRIM(N175)="")+AND(J175&lt;&gt;"",J175&amp;""&lt;&gt;"0",TRIM(O175)=""))&gt;0,"Add evidence","Complete")))</f>
        <v/>
      </c>
      <c r="Z175" s="24" t="inlineStr">
        <is>
          <t>8156</t>
        </is>
      </c>
      <c r="AA175" s="24" t="inlineStr">
        <is>
          <t>Shoe Making and Related Machine Operators</t>
        </is>
      </c>
      <c r="AB175" s="24" t="inlineStr">
        <is>
          <t>815</t>
        </is>
      </c>
      <c r="AC175" s="24" t="inlineStr">
        <is>
          <t>Textile, Fur and Leather Products Machine Operators</t>
        </is>
      </c>
      <c r="AD175" s="24" t="n">
        <v>8</v>
      </c>
      <c r="AE175" s="24" t="inlineStr">
        <is>
          <t>Plant and Machine Operators, and Assemblers</t>
        </is>
      </c>
      <c r="AF175" s="24" t="inlineStr">
        <is>
          <t>2</t>
        </is>
      </c>
      <c r="AG175" s="24" t="inlineStr">
        <is>
          <t>8266.50</t>
        </is>
      </c>
      <c r="AH175" s="24" t="n"/>
      <c r="AI175" s="24" t="n"/>
    </row>
    <row r="176" ht="217.2" customHeight="1">
      <c r="A176" s="24" t="n">
        <v>174</v>
      </c>
      <c r="B176" s="24" t="inlineStr">
        <is>
          <t>8156.9900</t>
        </is>
      </c>
      <c r="C176" s="24" t="inlineStr">
        <is>
          <t>Cutting, Lasting and Sewing Machine Operators, Other</t>
        </is>
      </c>
      <c r="D176" s="25" t="inlineStr">
        <is>
          <t>Cutting, Lasting and Sewing Machine Operators, other perform variety of routine and low skilled tasks in manufacture of shoes using appropriate machines or hand tools and may be designated according to nature of work performed such as Crimping Machine Operator operates crimping machine to give curved shape and wax finish to stitches. Welt Cutter cuts welt from leather sheet using knife. Welt Grooving Machine Operator operates grooving machine to cut groove in welt of shoe. Channel Opener operates channel opening machine to slit sole of shoe for stitching. Heel Assembler assembles heel lifts for making heel. Last Assembler assembles lasts and closed uppers of appropriate size and shape as per specification. Bottom Filler nails shank to insole at waist of shoe and fills bottom of shoe with sawdust, pieces of leather etc. Upper Cleaner cleans upper of shoes with water and brush and applies coating of prima and dressing. Stitch Cutter cuts stitches on insole and sole evenly using hand knife. Edge Polisher, Hand polishes edges of footwear by applying chemical compound with brush. Decorating Machine Operator (Footwear) operates decorating machine for making decorative patterns on insole. Cementer (Footwear) applies cement glue by brush on footwear components for sole pressing and to ends of upper straps for pasting them on insole. Paster (Footwear) collects sole and midsole from conveyor rack and pastes them together by pressing them with hands.</t>
        </is>
      </c>
      <c r="E176" s="26" t="n"/>
      <c r="F176" s="26" t="n"/>
      <c r="G176" s="26" t="n"/>
      <c r="H176" s="26" t="n"/>
      <c r="I176" s="26" t="n"/>
      <c r="J176" s="26" t="n"/>
      <c r="K176" s="27" t="n"/>
      <c r="L176" s="27" t="n"/>
      <c r="M176" s="27" t="n"/>
      <c r="N176" s="27" t="n"/>
      <c r="O176" s="27" t="n"/>
      <c r="P176" s="26" t="n"/>
      <c r="Q176" s="26" t="n"/>
      <c r="R176" s="26" t="n"/>
      <c r="S176" s="26" t="n"/>
      <c r="T176" s="26" t="n"/>
      <c r="U176" s="26" t="n"/>
      <c r="V176" s="26" t="n"/>
      <c r="W176" s="26" t="n"/>
      <c r="X176" s="27" t="n"/>
      <c r="Y176" s="28">
        <f>IF(COUNTA(E176:J176,P176:W176)=0,"Not started",IF(COUNTA(E176:J176,P176:W176)&lt;14,"Incomplete",IF((AND(F176&lt;&gt;"",F176&amp;""&lt;&gt;"0",TRIM(K176)="")+AND(G176&lt;&gt;"",G176&amp;""&lt;&gt;"0",TRIM(L176)="")+AND(H176&lt;&gt;"",H176&amp;""&lt;&gt;"0",TRIM(M176)="")+AND(I176&lt;&gt;"",I176&amp;""&lt;&gt;"0",TRIM(N176)="")+AND(J176&lt;&gt;"",J176&amp;""&lt;&gt;"0",TRIM(O176)=""))&gt;0,"Add evidence","Complete")))</f>
        <v/>
      </c>
      <c r="Z176" s="24" t="inlineStr">
        <is>
          <t>8156</t>
        </is>
      </c>
      <c r="AA176" s="24" t="inlineStr">
        <is>
          <t>Shoe Making and Related Machine Operators</t>
        </is>
      </c>
      <c r="AB176" s="24" t="inlineStr">
        <is>
          <t>815</t>
        </is>
      </c>
      <c r="AC176" s="24" t="inlineStr">
        <is>
          <t>Textile, Fur and Leather Products Machine Operators</t>
        </is>
      </c>
      <c r="AD176" s="24" t="n">
        <v>8</v>
      </c>
      <c r="AE176" s="24" t="inlineStr">
        <is>
          <t>Plant and Machine Operators, and Assemblers</t>
        </is>
      </c>
      <c r="AF176" s="24" t="inlineStr">
        <is>
          <t>2</t>
        </is>
      </c>
      <c r="AG176" s="24" t="inlineStr">
        <is>
          <t>8266.90</t>
        </is>
      </c>
      <c r="AH176" s="24" t="n"/>
      <c r="AI176" s="24" t="n"/>
    </row>
    <row r="177" ht="45.59999999999999" customHeight="1">
      <c r="A177" s="24" t="n">
        <v>175</v>
      </c>
      <c r="B177" s="24" t="inlineStr">
        <is>
          <t>8157.0401</t>
        </is>
      </c>
      <c r="C177" s="24" t="inlineStr">
        <is>
          <t>Pressman</t>
        </is>
      </c>
      <c r="D177" s="25" t="inlineStr">
        <is>
          <t>Pressman also called an ‘Ironer’ iron the garment components and finished garments. The primary responsibility of a pressman is to iron the garments and fold it as per the customer specifications.</t>
        </is>
      </c>
      <c r="E177" s="26" t="n"/>
      <c r="F177" s="26" t="n"/>
      <c r="G177" s="26" t="n"/>
      <c r="H177" s="26" t="n"/>
      <c r="I177" s="26" t="n"/>
      <c r="J177" s="26" t="n"/>
      <c r="K177" s="27" t="n"/>
      <c r="L177" s="27" t="n"/>
      <c r="M177" s="27" t="n"/>
      <c r="N177" s="27" t="n"/>
      <c r="O177" s="27" t="n"/>
      <c r="P177" s="26" t="n"/>
      <c r="Q177" s="26" t="n"/>
      <c r="R177" s="26" t="n"/>
      <c r="S177" s="26" t="n"/>
      <c r="T177" s="26" t="n"/>
      <c r="U177" s="26" t="n"/>
      <c r="V177" s="26" t="n"/>
      <c r="W177" s="26" t="n"/>
      <c r="X177" s="27" t="n"/>
      <c r="Y177" s="28">
        <f>IF(COUNTA(E177:J177,P177:W177)=0,"Not started",IF(COUNTA(E177:J177,P177:W177)&lt;14,"Incomplete",IF((AND(F177&lt;&gt;"",F177&amp;""&lt;&gt;"0",TRIM(K177)="")+AND(G177&lt;&gt;"",G177&amp;""&lt;&gt;"0",TRIM(L177)="")+AND(H177&lt;&gt;"",H177&amp;""&lt;&gt;"0",TRIM(M177)="")+AND(I177&lt;&gt;"",I177&amp;""&lt;&gt;"0",TRIM(N177)="")+AND(J177&lt;&gt;"",J177&amp;""&lt;&gt;"0",TRIM(O177)=""))&gt;0,"Add evidence","Complete")))</f>
        <v/>
      </c>
      <c r="Z177" s="24" t="inlineStr">
        <is>
          <t>8157</t>
        </is>
      </c>
      <c r="AA177" s="24" t="inlineStr">
        <is>
          <t>Laundry Machine Operators</t>
        </is>
      </c>
      <c r="AB177" s="24" t="inlineStr">
        <is>
          <t>815</t>
        </is>
      </c>
      <c r="AC177" s="24" t="inlineStr">
        <is>
          <t>Textile, Fur and Leather Products Machine Operators</t>
        </is>
      </c>
      <c r="AD177" s="24" t="n">
        <v>8</v>
      </c>
      <c r="AE177" s="24" t="inlineStr">
        <is>
          <t>Plant and Machine Operators, and Assemblers</t>
        </is>
      </c>
      <c r="AF177" s="24" t="inlineStr">
        <is>
          <t>2</t>
        </is>
      </c>
      <c r="AG177" s="24" t="n"/>
      <c r="AH177" s="24" t="inlineStr">
        <is>
          <t>AMH/Q0401</t>
        </is>
      </c>
      <c r="AI177" s="24" t="inlineStr">
        <is>
          <t>4</t>
        </is>
      </c>
    </row>
    <row r="178" ht="111.6" customHeight="1">
      <c r="A178" s="24" t="n">
        <v>176</v>
      </c>
      <c r="B178" s="24" t="inlineStr">
        <is>
          <t>8159.0300</t>
        </is>
      </c>
      <c r="C178" s="24" t="inlineStr">
        <is>
          <t>Balling-Machine Operator (Textile)</t>
        </is>
      </c>
      <c r="D178" s="25" t="inlineStr">
        <is>
          <t>Balling Machine Operator (Textile) tends machines that wind thread, twine, or yarn into balls preparatory to shipping or further processing. Places supply cones or spools on creel rack and threads yarn ends through guides and tension device. Pushes core over spindle of machine or wraps end of thread around shaping device of coreless winder. Pulls lever to start machine to wind specified amount of thread. Doffs balls of thread, using knife to cut thread. Inspects balls for defective winding or soiled thread. May insert labels under the thread. May place ball on the device to crush the centre and wrap end of thread around the centre as binder. May pack balls into boxes for shipment.</t>
        </is>
      </c>
      <c r="E178" s="26" t="n"/>
      <c r="F178" s="26" t="n"/>
      <c r="G178" s="26" t="n"/>
      <c r="H178" s="26" t="n"/>
      <c r="I178" s="26" t="n"/>
      <c r="J178" s="26" t="n"/>
      <c r="K178" s="27" t="n"/>
      <c r="L178" s="27" t="n"/>
      <c r="M178" s="27" t="n"/>
      <c r="N178" s="27" t="n"/>
      <c r="O178" s="27" t="n"/>
      <c r="P178" s="26" t="n"/>
      <c r="Q178" s="26" t="n"/>
      <c r="R178" s="26" t="n"/>
      <c r="S178" s="26" t="n"/>
      <c r="T178" s="26" t="n"/>
      <c r="U178" s="26" t="n"/>
      <c r="V178" s="26" t="n"/>
      <c r="W178" s="26" t="n"/>
      <c r="X178" s="27" t="n"/>
      <c r="Y178" s="28">
        <f>IF(COUNTA(E178:J178,P178:W178)=0,"Not started",IF(COUNTA(E178:J178,P178:W178)&lt;14,"Incomplete",IF((AND(F178&lt;&gt;"",F178&amp;""&lt;&gt;"0",TRIM(K178)="")+AND(G178&lt;&gt;"",G178&amp;""&lt;&gt;"0",TRIM(L178)="")+AND(H178&lt;&gt;"",H178&amp;""&lt;&gt;"0",TRIM(M178)="")+AND(I178&lt;&gt;"",I178&amp;""&lt;&gt;"0",TRIM(N178)="")+AND(J178&lt;&gt;"",J178&amp;""&lt;&gt;"0",TRIM(O178)=""))&gt;0,"Add evidence","Complete")))</f>
        <v/>
      </c>
      <c r="Z178" s="24" t="inlineStr">
        <is>
          <t>8159</t>
        </is>
      </c>
      <c r="AA178" s="24" t="inlineStr">
        <is>
          <t>Textile, Fur and Leather Products Machine Operators Not Elsewhere Classified</t>
        </is>
      </c>
      <c r="AB178" s="24" t="inlineStr">
        <is>
          <t>815</t>
        </is>
      </c>
      <c r="AC178" s="24" t="inlineStr">
        <is>
          <t>Textile, Fur and Leather Products Machine Operators</t>
        </is>
      </c>
      <c r="AD178" s="24" t="n">
        <v>8</v>
      </c>
      <c r="AE178" s="24" t="inlineStr">
        <is>
          <t>Plant and Machine Operators, and Assemblers</t>
        </is>
      </c>
      <c r="AF178" s="24" t="inlineStr">
        <is>
          <t>2</t>
        </is>
      </c>
      <c r="AG178" s="24" t="inlineStr">
        <is>
          <t>8269.30</t>
        </is>
      </c>
      <c r="AH178" s="24" t="n"/>
      <c r="AI178" s="24" t="n"/>
    </row>
    <row r="179" ht="72" customHeight="1">
      <c r="A179" s="24" t="n">
        <v>177</v>
      </c>
      <c r="B179" s="24" t="inlineStr">
        <is>
          <t>8159.0400</t>
        </is>
      </c>
      <c r="C179" s="24" t="inlineStr">
        <is>
          <t>Press Operator</t>
        </is>
      </c>
      <c r="D179" s="25" t="inlineStr">
        <is>
          <t>Press Operator tends machine that steams and presses wrinkles from woollen cloth: Starts press and manually guides cloth into machine and under weighted cylinder which steams material and presses out wrinkles. Turns hand wheel to adjust cylinder pressure according to type of cloth processed. Sews end of new material to end of material in press, using sewing machine. Cleans and oils pressing machine.</t>
        </is>
      </c>
      <c r="E179" s="26" t="n"/>
      <c r="F179" s="26" t="n"/>
      <c r="G179" s="26" t="n"/>
      <c r="H179" s="26" t="n"/>
      <c r="I179" s="26" t="n"/>
      <c r="J179" s="26" t="n"/>
      <c r="K179" s="27" t="n"/>
      <c r="L179" s="27" t="n"/>
      <c r="M179" s="27" t="n"/>
      <c r="N179" s="27" t="n"/>
      <c r="O179" s="27" t="n"/>
      <c r="P179" s="26" t="n"/>
      <c r="Q179" s="26" t="n"/>
      <c r="R179" s="26" t="n"/>
      <c r="S179" s="26" t="n"/>
      <c r="T179" s="26" t="n"/>
      <c r="U179" s="26" t="n"/>
      <c r="V179" s="26" t="n"/>
      <c r="W179" s="26" t="n"/>
      <c r="X179" s="27" t="n"/>
      <c r="Y179" s="28">
        <f>IF(COUNTA(E179:J179,P179:W179)=0,"Not started",IF(COUNTA(E179:J179,P179:W179)&lt;14,"Incomplete",IF((AND(F179&lt;&gt;"",F179&amp;""&lt;&gt;"0",TRIM(K179)="")+AND(G179&lt;&gt;"",G179&amp;""&lt;&gt;"0",TRIM(L179)="")+AND(H179&lt;&gt;"",H179&amp;""&lt;&gt;"0",TRIM(M179)="")+AND(I179&lt;&gt;"",I179&amp;""&lt;&gt;"0",TRIM(N179)="")+AND(J179&lt;&gt;"",J179&amp;""&lt;&gt;"0",TRIM(O179)=""))&gt;0,"Add evidence","Complete")))</f>
        <v/>
      </c>
      <c r="Z179" s="24" t="inlineStr">
        <is>
          <t>8159</t>
        </is>
      </c>
      <c r="AA179" s="24" t="inlineStr">
        <is>
          <t>Textile, Fur and Leather Products Machine Operators Not Elsewhere Classified</t>
        </is>
      </c>
      <c r="AB179" s="24" t="inlineStr">
        <is>
          <t>815</t>
        </is>
      </c>
      <c r="AC179" s="24" t="inlineStr">
        <is>
          <t>Textile, Fur and Leather Products Machine Operators</t>
        </is>
      </c>
      <c r="AD179" s="24" t="n">
        <v>8</v>
      </c>
      <c r="AE179" s="24" t="inlineStr">
        <is>
          <t>Plant and Machine Operators, and Assemblers</t>
        </is>
      </c>
      <c r="AF179" s="24" t="inlineStr">
        <is>
          <t>2</t>
        </is>
      </c>
      <c r="AG179" s="24" t="inlineStr">
        <is>
          <t>8269.40</t>
        </is>
      </c>
      <c r="AH179" s="24" t="n"/>
      <c r="AI179" s="24" t="n"/>
    </row>
    <row r="180" ht="204" customHeight="1">
      <c r="A180" s="24" t="n">
        <v>178</v>
      </c>
      <c r="B180" s="24" t="inlineStr">
        <is>
          <t>8160.0500</t>
        </is>
      </c>
      <c r="C180" s="24" t="inlineStr">
        <is>
          <t>Dairy Processing Equipment Operator</t>
        </is>
      </c>
      <c r="D180" s="25" t="inlineStr">
        <is>
          <t>Dairy Processing Equipment Operator operates continuous flow or vat-type equipment to process milk, cream, and other dairy products, following specified methods and formulae: Connects pipes between vats and processing equipment. Assembles fittings, valves, bowls, plates, disks, impeller shaft, and other parts to equipment with wrench to prepare for operation. Turns valves to pump sterilizing solution and rinse water through pipes and equipment and spray vats with atomiser. Starts pumps and equipment, observes temperature and pressure gauges, and opens valves on continuous flow equipment to force milk through centrifuge to separate cream from milk, through homogeniser to produce specified emulsion, and through filter to remove sediment. Turns valves to admit steam and water into pipes to pasteurise milk and to circulate refrigerant through coils to cool milk. Starts pump and agitator, observes pressure and temperature gauges, and opens valves on vat equipment to fill, stir, and steam-heat milk in vat. Pumps or pours specified amounts of liquid or powder ingredients, such as skim milk, lactic culture, stabilizer, neutraliser, and vitamins into vat to make dairy products, such as buttermilk, chocolate milk, or ice cream mix. Tests product for acidity at various stages of processing. Records specified time, temperature, pressure, and volume readings.</t>
        </is>
      </c>
      <c r="E180" s="26" t="n"/>
      <c r="F180" s="26" t="n"/>
      <c r="G180" s="26" t="n"/>
      <c r="H180" s="26" t="n"/>
      <c r="I180" s="26" t="n"/>
      <c r="J180" s="26" t="n"/>
      <c r="K180" s="27" t="n"/>
      <c r="L180" s="27" t="n"/>
      <c r="M180" s="27" t="n"/>
      <c r="N180" s="27" t="n"/>
      <c r="O180" s="27" t="n"/>
      <c r="P180" s="26" t="n"/>
      <c r="Q180" s="26" t="n"/>
      <c r="R180" s="26" t="n"/>
      <c r="S180" s="26" t="n"/>
      <c r="T180" s="26" t="n"/>
      <c r="U180" s="26" t="n"/>
      <c r="V180" s="26" t="n"/>
      <c r="W180" s="26" t="n"/>
      <c r="X180" s="27" t="n"/>
      <c r="Y180" s="28">
        <f>IF(COUNTA(E180:J180,P180:W180)=0,"Not started",IF(COUNTA(E180:J180,P180:W180)&lt;14,"Incomplete",IF((AND(F180&lt;&gt;"",F180&amp;""&lt;&gt;"0",TRIM(K180)="")+AND(G180&lt;&gt;"",G180&amp;""&lt;&gt;"0",TRIM(L180)="")+AND(H180&lt;&gt;"",H180&amp;""&lt;&gt;"0",TRIM(M180)="")+AND(I180&lt;&gt;"",I180&amp;""&lt;&gt;"0",TRIM(N180)="")+AND(J180&lt;&gt;"",J180&amp;""&lt;&gt;"0",TRIM(O180)=""))&gt;0,"Add evidence","Complete")))</f>
        <v/>
      </c>
      <c r="Z180" s="24" t="inlineStr">
        <is>
          <t>8160</t>
        </is>
      </c>
      <c r="AA180" s="24" t="inlineStr">
        <is>
          <t>Food and Related Products Machine Operators</t>
        </is>
      </c>
      <c r="AB180" s="24" t="inlineStr">
        <is>
          <t>816</t>
        </is>
      </c>
      <c r="AC180" s="24" t="inlineStr">
        <is>
          <t>Food and Related Products Machine Operators</t>
        </is>
      </c>
      <c r="AD180" s="24" t="n">
        <v>8</v>
      </c>
      <c r="AE180" s="24" t="inlineStr">
        <is>
          <t>Plant and Machine Operators, and Assemblers</t>
        </is>
      </c>
      <c r="AF180" s="24" t="inlineStr">
        <is>
          <t>2</t>
        </is>
      </c>
      <c r="AG180" s="24" t="inlineStr">
        <is>
          <t>8272.30</t>
        </is>
      </c>
      <c r="AH180" s="24" t="n"/>
      <c r="AI180" s="24" t="n"/>
    </row>
    <row r="181" ht="190.8" customHeight="1">
      <c r="A181" s="24" t="n">
        <v>179</v>
      </c>
      <c r="B181" s="24" t="inlineStr">
        <is>
          <t>8160.3500</t>
        </is>
      </c>
      <c r="C181" s="24" t="inlineStr">
        <is>
          <t>Filter Pressman</t>
        </is>
      </c>
      <c r="D181" s="25" t="inlineStr">
        <is>
          <t>Filter Press Man; Filter Press Operator; Assistant. Press Man; Filter Press Mate; Press mate (Sugar) operates filter press to filter mud and other sediments from sugarcane juice preparatory to further processing for making sugar. Covers filter plates with cloth or canvass and tightens hand screw to close press; dries filter cloth, if necessary, by operating valve and passing steam into press; opens and regulates valve for juice to be pumped into press till specified pressure is indicated on gauge fitted to pump; watches flow of filtered juice into receiving channel, and directs juice to another press, when flow of filtered juice gets clogged. Washes mud on filter cloth by opening hot water valve; opens steam valve to pass steam into filter cloth for drying mud cake; opens press and gets mud scraped off filter cloth, uses filter press cloth washed for re-use, and filter plates and floor cleaned and washed for next filtration. May be designated as ROTARY FILTER OPERATOR, if operates power driven rotary filter having perforated drum to separate mud and other sediments from juice, by admitting muddy juice into tank of machine and rotating drum through which juice is sucked while mud sticks to drum and is subsequently scraped off by knife or blade attached to machine.</t>
        </is>
      </c>
      <c r="E181" s="26" t="n"/>
      <c r="F181" s="26" t="n"/>
      <c r="G181" s="26" t="n"/>
      <c r="H181" s="26" t="n"/>
      <c r="I181" s="26" t="n"/>
      <c r="J181" s="26" t="n"/>
      <c r="K181" s="27" t="n"/>
      <c r="L181" s="27" t="n"/>
      <c r="M181" s="27" t="n"/>
      <c r="N181" s="27" t="n"/>
      <c r="O181" s="27" t="n"/>
      <c r="P181" s="26" t="n"/>
      <c r="Q181" s="26" t="n"/>
      <c r="R181" s="26" t="n"/>
      <c r="S181" s="26" t="n"/>
      <c r="T181" s="26" t="n"/>
      <c r="U181" s="26" t="n"/>
      <c r="V181" s="26" t="n"/>
      <c r="W181" s="26" t="n"/>
      <c r="X181" s="27" t="n"/>
      <c r="Y181" s="28">
        <f>IF(COUNTA(E181:J181,P181:W181)=0,"Not started",IF(COUNTA(E181:J181,P181:W181)&lt;14,"Incomplete",IF((AND(F181&lt;&gt;"",F181&amp;""&lt;&gt;"0",TRIM(K181)="")+AND(G181&lt;&gt;"",G181&amp;""&lt;&gt;"0",TRIM(L181)="")+AND(H181&lt;&gt;"",H181&amp;""&lt;&gt;"0",TRIM(M181)="")+AND(I181&lt;&gt;"",I181&amp;""&lt;&gt;"0",TRIM(N181)="")+AND(J181&lt;&gt;"",J181&amp;""&lt;&gt;"0",TRIM(O181)=""))&gt;0,"Add evidence","Complete")))</f>
        <v/>
      </c>
      <c r="Z181" s="24" t="inlineStr">
        <is>
          <t>8160</t>
        </is>
      </c>
      <c r="AA181" s="24" t="inlineStr">
        <is>
          <t>Food and Related Products Machine Operators</t>
        </is>
      </c>
      <c r="AB181" s="24" t="inlineStr">
        <is>
          <t>816</t>
        </is>
      </c>
      <c r="AC181" s="24" t="inlineStr">
        <is>
          <t>Food and Related Products Machine Operators</t>
        </is>
      </c>
      <c r="AD181" s="24" t="n">
        <v>8</v>
      </c>
      <c r="AE181" s="24" t="inlineStr">
        <is>
          <t>Plant and Machine Operators, and Assemblers</t>
        </is>
      </c>
      <c r="AF181" s="24" t="inlineStr">
        <is>
          <t>2</t>
        </is>
      </c>
      <c r="AG181" s="24" t="inlineStr">
        <is>
          <t>8276.20</t>
        </is>
      </c>
      <c r="AH181" s="24" t="n"/>
      <c r="AI181" s="24" t="n"/>
    </row>
    <row r="182" ht="85.19999999999999" customHeight="1">
      <c r="A182" s="24" t="n">
        <v>180</v>
      </c>
      <c r="B182" s="24" t="inlineStr">
        <is>
          <t>8160.5400</t>
        </is>
      </c>
      <c r="C182" s="24" t="inlineStr">
        <is>
          <t>Works Poor Attendant</t>
        </is>
      </c>
      <c r="D182" s="25" t="inlineStr">
        <is>
          <t>Works Poor Attendant tends works poor machine to cool massacuite to required temperature before being pumped to respective centrifugal machine for separating sugar crystals. Opens valve from crystalliser and allows massacuite to flow into works poor machine up to prescribed level; presses hand lever to start stirrers in machine; checks and ensures running of cold water through tubes inside machine; prevents solidification of massacuite by diluting with water, if necessary; regulates flow of massacuite from works poor into pump feeding centrifugal machine.</t>
        </is>
      </c>
      <c r="E182" s="26" t="n"/>
      <c r="F182" s="26" t="n"/>
      <c r="G182" s="26" t="n"/>
      <c r="H182" s="26" t="n"/>
      <c r="I182" s="26" t="n"/>
      <c r="J182" s="26" t="n"/>
      <c r="K182" s="27" t="n"/>
      <c r="L182" s="27" t="n"/>
      <c r="M182" s="27" t="n"/>
      <c r="N182" s="27" t="n"/>
      <c r="O182" s="27" t="n"/>
      <c r="P182" s="26" t="n"/>
      <c r="Q182" s="26" t="n"/>
      <c r="R182" s="26" t="n"/>
      <c r="S182" s="26" t="n"/>
      <c r="T182" s="26" t="n"/>
      <c r="U182" s="26" t="n"/>
      <c r="V182" s="26" t="n"/>
      <c r="W182" s="26" t="n"/>
      <c r="X182" s="27" t="n"/>
      <c r="Y182" s="28">
        <f>IF(COUNTA(E182:J182,P182:W182)=0,"Not started",IF(COUNTA(E182:J182,P182:W182)&lt;14,"Incomplete",IF((AND(F182&lt;&gt;"",F182&amp;""&lt;&gt;"0",TRIM(K182)="")+AND(G182&lt;&gt;"",G182&amp;""&lt;&gt;"0",TRIM(L182)="")+AND(H182&lt;&gt;"",H182&amp;""&lt;&gt;"0",TRIM(M182)="")+AND(I182&lt;&gt;"",I182&amp;""&lt;&gt;"0",TRIM(N182)="")+AND(J182&lt;&gt;"",J182&amp;""&lt;&gt;"0",TRIM(O182)=""))&gt;0,"Add evidence","Complete")))</f>
        <v/>
      </c>
      <c r="Z182" s="24" t="inlineStr">
        <is>
          <t>8160</t>
        </is>
      </c>
      <c r="AA182" s="24" t="inlineStr">
        <is>
          <t>Food and Related Products Machine Operators</t>
        </is>
      </c>
      <c r="AB182" s="24" t="inlineStr">
        <is>
          <t>816</t>
        </is>
      </c>
      <c r="AC182" s="24" t="inlineStr">
        <is>
          <t>Food and Related Products Machine Operators</t>
        </is>
      </c>
      <c r="AD182" s="24" t="n">
        <v>8</v>
      </c>
      <c r="AE182" s="24" t="inlineStr">
        <is>
          <t>Plant and Machine Operators, and Assemblers</t>
        </is>
      </c>
      <c r="AF182" s="24" t="inlineStr">
        <is>
          <t>2</t>
        </is>
      </c>
      <c r="AG182" s="24" t="inlineStr">
        <is>
          <t>8276.83</t>
        </is>
      </c>
      <c r="AH182" s="24" t="n"/>
      <c r="AI182" s="24" t="n"/>
    </row>
    <row r="183" ht="98.39999999999999" customHeight="1">
      <c r="A183" s="24" t="n">
        <v>181</v>
      </c>
      <c r="B183" s="24" t="inlineStr">
        <is>
          <t>8160.5800</t>
        </is>
      </c>
      <c r="C183" s="24" t="inlineStr">
        <is>
          <t>Withering Loft Attendant (Tea)</t>
        </is>
      </c>
      <c r="D183" s="25" t="inlineStr">
        <is>
          <t>Withering Loft Attendant (Tea) tends lofts on which green tea leaves are withered and supplies withered leaves to rolling machine. Spreads green leaves thinly with hands or stick on layers of gunny or hessian cloth in withering lofts; allows leaves to wither for required time, according to their moisture contents and weather conditions; checks leaves in different lofts for proper withering, judging by touch or sight; collects withered leaves from lifts by hand and pushes required quantity through opening on floor to feed rolling machine below on receipt of signals from Roller Attendant. May tend Rolling and Firing Machine.</t>
        </is>
      </c>
      <c r="E183" s="26" t="n"/>
      <c r="F183" s="26" t="n"/>
      <c r="G183" s="26" t="n"/>
      <c r="H183" s="26" t="n"/>
      <c r="I183" s="26" t="n"/>
      <c r="J183" s="26" t="n"/>
      <c r="K183" s="27" t="n"/>
      <c r="L183" s="27" t="n"/>
      <c r="M183" s="27" t="n"/>
      <c r="N183" s="27" t="n"/>
      <c r="O183" s="27" t="n"/>
      <c r="P183" s="26" t="n"/>
      <c r="Q183" s="26" t="n"/>
      <c r="R183" s="26" t="n"/>
      <c r="S183" s="26" t="n"/>
      <c r="T183" s="26" t="n"/>
      <c r="U183" s="26" t="n"/>
      <c r="V183" s="26" t="n"/>
      <c r="W183" s="26" t="n"/>
      <c r="X183" s="27" t="n"/>
      <c r="Y183" s="28">
        <f>IF(COUNTA(E183:J183,P183:W183)=0,"Not started",IF(COUNTA(E183:J183,P183:W183)&lt;14,"Incomplete",IF((AND(F183&lt;&gt;"",F183&amp;""&lt;&gt;"0",TRIM(K183)="")+AND(G183&lt;&gt;"",G183&amp;""&lt;&gt;"0",TRIM(L183)="")+AND(H183&lt;&gt;"",H183&amp;""&lt;&gt;"0",TRIM(M183)="")+AND(I183&lt;&gt;"",I183&amp;""&lt;&gt;"0",TRIM(N183)="")+AND(J183&lt;&gt;"",J183&amp;""&lt;&gt;"0",TRIM(O183)=""))&gt;0,"Add evidence","Complete")))</f>
        <v/>
      </c>
      <c r="Z183" s="24" t="inlineStr">
        <is>
          <t>8160</t>
        </is>
      </c>
      <c r="AA183" s="24" t="inlineStr">
        <is>
          <t>Food and Related Products Machine Operators</t>
        </is>
      </c>
      <c r="AB183" s="24" t="inlineStr">
        <is>
          <t>816</t>
        </is>
      </c>
      <c r="AC183" s="24" t="inlineStr">
        <is>
          <t>Food and Related Products Machine Operators</t>
        </is>
      </c>
      <c r="AD183" s="24" t="n">
        <v>8</v>
      </c>
      <c r="AE183" s="24" t="inlineStr">
        <is>
          <t>Plant and Machine Operators, and Assemblers</t>
        </is>
      </c>
      <c r="AF183" s="24" t="inlineStr">
        <is>
          <t>2</t>
        </is>
      </c>
      <c r="AG183" s="24" t="inlineStr">
        <is>
          <t>8277.15</t>
        </is>
      </c>
      <c r="AH183" s="24" t="n"/>
      <c r="AI183" s="24" t="n"/>
    </row>
    <row r="184" ht="138" customHeight="1">
      <c r="A184" s="24" t="n">
        <v>182</v>
      </c>
      <c r="B184" s="24" t="inlineStr">
        <is>
          <t>8160.8400</t>
        </is>
      </c>
      <c r="C184" s="24" t="inlineStr">
        <is>
          <t>Filler, Aerated Water, Hand Machine</t>
        </is>
      </c>
      <c r="D184" s="25" t="inlineStr">
        <is>
          <t>Filler, Aerated Water, Hand Machine operates manually controlled filling machine to fill carbonated water in bottles. Fills crown or marble stoppered bottles with prescribed quantity of purified water; opens lid of machine and places filled bottles in single or multichambers of filling machine; closes lid, opens valve to let in carbon dioxide gas from cylinders into filled bottles at particular pressure; rotates machine by hand, giving specified number of rotations to machine to obtain correct carbonation; checks up carbonation by opening lid, whenever necessary; removes carbonated water bottles from machine and hands over for crowning (sealing). May attend to repair and maintenance of machine. May be designated according to make of machine handled-CLUB MACHINE FILLER; if operates club machine for filling only carbon dioxide gas in bottles, purified water having been filled in bottles separately.</t>
        </is>
      </c>
      <c r="E184" s="26" t="n"/>
      <c r="F184" s="26" t="n"/>
      <c r="G184" s="26" t="n"/>
      <c r="H184" s="26" t="n"/>
      <c r="I184" s="26" t="n"/>
      <c r="J184" s="26" t="n"/>
      <c r="K184" s="27" t="n"/>
      <c r="L184" s="27" t="n"/>
      <c r="M184" s="27" t="n"/>
      <c r="N184" s="27" t="n"/>
      <c r="O184" s="27" t="n"/>
      <c r="P184" s="26" t="n"/>
      <c r="Q184" s="26" t="n"/>
      <c r="R184" s="26" t="n"/>
      <c r="S184" s="26" t="n"/>
      <c r="T184" s="26" t="n"/>
      <c r="U184" s="26" t="n"/>
      <c r="V184" s="26" t="n"/>
      <c r="W184" s="26" t="n"/>
      <c r="X184" s="27" t="n"/>
      <c r="Y184" s="28">
        <f>IF(COUNTA(E184:J184,P184:W184)=0,"Not started",IF(COUNTA(E184:J184,P184:W184)&lt;14,"Incomplete",IF((AND(F184&lt;&gt;"",F184&amp;""&lt;&gt;"0",TRIM(K184)="")+AND(G184&lt;&gt;"",G184&amp;""&lt;&gt;"0",TRIM(L184)="")+AND(H184&lt;&gt;"",H184&amp;""&lt;&gt;"0",TRIM(M184)="")+AND(I184&lt;&gt;"",I184&amp;""&lt;&gt;"0",TRIM(N184)="")+AND(J184&lt;&gt;"",J184&amp;""&lt;&gt;"0",TRIM(O184)=""))&gt;0,"Add evidence","Complete")))</f>
        <v/>
      </c>
      <c r="Z184" s="24" t="inlineStr">
        <is>
          <t>8160</t>
        </is>
      </c>
      <c r="AA184" s="24" t="inlineStr">
        <is>
          <t>Food and Related Products Machine Operators</t>
        </is>
      </c>
      <c r="AB184" s="24" t="inlineStr">
        <is>
          <t>816</t>
        </is>
      </c>
      <c r="AC184" s="24" t="inlineStr">
        <is>
          <t>Food and Related Products Machine Operators</t>
        </is>
      </c>
      <c r="AD184" s="24" t="n">
        <v>8</v>
      </c>
      <c r="AE184" s="24" t="inlineStr">
        <is>
          <t>Plant and Machine Operators, and Assemblers</t>
        </is>
      </c>
      <c r="AF184" s="24" t="inlineStr">
        <is>
          <t>2</t>
        </is>
      </c>
      <c r="AG184" s="24" t="inlineStr">
        <is>
          <t>8278.70</t>
        </is>
      </c>
      <c r="AH184" s="24" t="n"/>
      <c r="AI184" s="24" t="n"/>
    </row>
    <row r="185" ht="45.59999999999999" customHeight="1">
      <c r="A185" s="24" t="n">
        <v>183</v>
      </c>
      <c r="B185" s="24" t="inlineStr">
        <is>
          <t>8160.9900</t>
        </is>
      </c>
      <c r="C185" s="24" t="inlineStr">
        <is>
          <t>Food and Related Products Machine Operators</t>
        </is>
      </c>
      <c r="D185" s="25" t="inlineStr">
        <is>
          <t>Food and Related Products Machine Operators, other include operators who set, operate and attend machinery used to slaughter animals, trim meat from carcasses; bake, freeze, heat, crush, mix, blend and otherwise process foodstuffs, beverages and tobacco leaves not elsewhere classified.</t>
        </is>
      </c>
      <c r="E185" s="26" t="n"/>
      <c r="F185" s="26" t="n"/>
      <c r="G185" s="26" t="n"/>
      <c r="H185" s="26" t="n"/>
      <c r="I185" s="26" t="n"/>
      <c r="J185" s="26" t="n"/>
      <c r="K185" s="27" t="n"/>
      <c r="L185" s="27" t="n"/>
      <c r="M185" s="27" t="n"/>
      <c r="N185" s="27" t="n"/>
      <c r="O185" s="27" t="n"/>
      <c r="P185" s="26" t="n"/>
      <c r="Q185" s="26" t="n"/>
      <c r="R185" s="26" t="n"/>
      <c r="S185" s="26" t="n"/>
      <c r="T185" s="26" t="n"/>
      <c r="U185" s="26" t="n"/>
      <c r="V185" s="26" t="n"/>
      <c r="W185" s="26" t="n"/>
      <c r="X185" s="27" t="n"/>
      <c r="Y185" s="28">
        <f>IF(COUNTA(E185:J185,P185:W185)=0,"Not started",IF(COUNTA(E185:J185,P185:W185)&lt;14,"Incomplete",IF((AND(F185&lt;&gt;"",F185&amp;""&lt;&gt;"0",TRIM(K185)="")+AND(G185&lt;&gt;"",G185&amp;""&lt;&gt;"0",TRIM(L185)="")+AND(H185&lt;&gt;"",H185&amp;""&lt;&gt;"0",TRIM(M185)="")+AND(I185&lt;&gt;"",I185&amp;""&lt;&gt;"0",TRIM(N185)="")+AND(J185&lt;&gt;"",J185&amp;""&lt;&gt;"0",TRIM(O185)=""))&gt;0,"Add evidence","Complete")))</f>
        <v/>
      </c>
      <c r="Z185" s="24" t="inlineStr">
        <is>
          <t>8160</t>
        </is>
      </c>
      <c r="AA185" s="24" t="inlineStr">
        <is>
          <t>Food and Related Products Machine Operators</t>
        </is>
      </c>
      <c r="AB185" s="24" t="inlineStr">
        <is>
          <t>816</t>
        </is>
      </c>
      <c r="AC185" s="24" t="inlineStr">
        <is>
          <t>Food and Related Products Machine Operators</t>
        </is>
      </c>
      <c r="AD185" s="24" t="n">
        <v>8</v>
      </c>
      <c r="AE185" s="24" t="inlineStr">
        <is>
          <t>Plant and Machine Operators, and Assemblers</t>
        </is>
      </c>
      <c r="AF185" s="24" t="inlineStr">
        <is>
          <t>2</t>
        </is>
      </c>
      <c r="AG185" s="24" t="n"/>
      <c r="AH185" s="24" t="n"/>
      <c r="AI185" s="24" t="n"/>
    </row>
    <row r="186" ht="85.19999999999999" customHeight="1">
      <c r="A186" s="24" t="n">
        <v>184</v>
      </c>
      <c r="B186" s="24" t="inlineStr">
        <is>
          <t>8172.0900</t>
        </is>
      </c>
      <c r="C186" s="24" t="inlineStr">
        <is>
          <t>Barrel-Lathe Operator, Outside (Wood Container)</t>
        </is>
      </c>
      <c r="D186" s="25" t="inlineStr">
        <is>
          <t>Barrel-Lathe Operator, Outside (Wood Container) operates machine to scrape and smooth outer surface of barrel by holding hand tools against barrel: Removes temporary hoops from barrel and places barrel horizontally on barrel rest. Starts machine. Clamps barrel between chucks of lathe. Holds barrel plane against surface of revolving barrel and guides tool along length of barrel to scrape and smooth barrel. Lifts tool from surface of barrel, releases pressure of tail chuck on barrel, and lifts barrel from machine.</t>
        </is>
      </c>
      <c r="E186" s="26" t="n"/>
      <c r="F186" s="26" t="n"/>
      <c r="G186" s="26" t="n"/>
      <c r="H186" s="26" t="n"/>
      <c r="I186" s="26" t="n"/>
      <c r="J186" s="26" t="n"/>
      <c r="K186" s="27" t="n"/>
      <c r="L186" s="27" t="n"/>
      <c r="M186" s="27" t="n"/>
      <c r="N186" s="27" t="n"/>
      <c r="O186" s="27" t="n"/>
      <c r="P186" s="26" t="n"/>
      <c r="Q186" s="26" t="n"/>
      <c r="R186" s="26" t="n"/>
      <c r="S186" s="26" t="n"/>
      <c r="T186" s="26" t="n"/>
      <c r="U186" s="26" t="n"/>
      <c r="V186" s="26" t="n"/>
      <c r="W186" s="26" t="n"/>
      <c r="X186" s="27" t="n"/>
      <c r="Y186" s="28">
        <f>IF(COUNTA(E186:J186,P186:W186)=0,"Not started",IF(COUNTA(E186:J186,P186:W186)&lt;14,"Incomplete",IF((AND(F186&lt;&gt;"",F186&amp;""&lt;&gt;"0",TRIM(K186)="")+AND(G186&lt;&gt;"",G186&amp;""&lt;&gt;"0",TRIM(L186)="")+AND(H186&lt;&gt;"",H186&amp;""&lt;&gt;"0",TRIM(M186)="")+AND(I186&lt;&gt;"",I186&amp;""&lt;&gt;"0",TRIM(N186)="")+AND(J186&lt;&gt;"",J186&amp;""&lt;&gt;"0",TRIM(O186)=""))&gt;0,"Add evidence","Complete")))</f>
        <v/>
      </c>
      <c r="Z186" s="24" t="inlineStr">
        <is>
          <t>8172</t>
        </is>
      </c>
      <c r="AA186" s="24" t="inlineStr">
        <is>
          <t>Wood Processing Plant Operators</t>
        </is>
      </c>
      <c r="AB186" s="24" t="inlineStr">
        <is>
          <t>817</t>
        </is>
      </c>
      <c r="AC186" s="24" t="inlineStr">
        <is>
          <t>Wood Processing and Papermaking Plant Operators</t>
        </is>
      </c>
      <c r="AD186" s="24" t="n">
        <v>8</v>
      </c>
      <c r="AE186" s="24" t="inlineStr">
        <is>
          <t>Plant and Machine Operators, and Assemblers</t>
        </is>
      </c>
      <c r="AF186" s="24" t="inlineStr">
        <is>
          <t>2</t>
        </is>
      </c>
      <c r="AG186" s="24" t="inlineStr">
        <is>
          <t>8141.62</t>
        </is>
      </c>
      <c r="AH186" s="24" t="n"/>
      <c r="AI186" s="24" t="n"/>
    </row>
    <row r="187" ht="85.19999999999999" customHeight="1">
      <c r="A187" s="24" t="n">
        <v>185</v>
      </c>
      <c r="B187" s="24" t="inlineStr">
        <is>
          <t>8189.0200</t>
        </is>
      </c>
      <c r="C187" s="24" t="inlineStr">
        <is>
          <t>Gem Polisher, Machine</t>
        </is>
      </c>
      <c r="D187" s="25" t="inlineStr">
        <is>
          <t>Gem Polisher, Machine polishes top portion and gives facets to stone. Fixes stone to be polished in dop with shellac. Sets dop in tank (wooden rectangular device to hold dop) or holds dop in special type of clamp. Starts machine, applies diamond powder to revolving steel disc and holds tank or clamp on it to press and polish stone to required finish. Checks stone frequently with magnifying glass while polishing to ensure required finish. May wash polished stone in caustic soda solution or keep it in lemon juice for prescribed period to brighten it.</t>
        </is>
      </c>
      <c r="E187" s="26" t="n"/>
      <c r="F187" s="26" t="n"/>
      <c r="G187" s="26" t="n"/>
      <c r="H187" s="26" t="n"/>
      <c r="I187" s="26" t="n"/>
      <c r="J187" s="26" t="n"/>
      <c r="K187" s="27" t="n"/>
      <c r="L187" s="27" t="n"/>
      <c r="M187" s="27" t="n"/>
      <c r="N187" s="27" t="n"/>
      <c r="O187" s="27" t="n"/>
      <c r="P187" s="26" t="n"/>
      <c r="Q187" s="26" t="n"/>
      <c r="R187" s="26" t="n"/>
      <c r="S187" s="26" t="n"/>
      <c r="T187" s="26" t="n"/>
      <c r="U187" s="26" t="n"/>
      <c r="V187" s="26" t="n"/>
      <c r="W187" s="26" t="n"/>
      <c r="X187" s="27" t="n"/>
      <c r="Y187" s="28">
        <f>IF(COUNTA(E187:J187,P187:W187)=0,"Not started",IF(COUNTA(E187:J187,P187:W187)&lt;14,"Incomplete",IF((AND(F187&lt;&gt;"",F187&amp;""&lt;&gt;"0",TRIM(K187)="")+AND(G187&lt;&gt;"",G187&amp;""&lt;&gt;"0",TRIM(L187)="")+AND(H187&lt;&gt;"",H187&amp;""&lt;&gt;"0",TRIM(M187)="")+AND(I187&lt;&gt;"",I187&amp;""&lt;&gt;"0",TRIM(N187)="")+AND(J187&lt;&gt;"",J187&amp;""&lt;&gt;"0",TRIM(O187)=""))&gt;0,"Add evidence","Complete")))</f>
        <v/>
      </c>
      <c r="Z187" s="24" t="inlineStr">
        <is>
          <t>8189</t>
        </is>
      </c>
      <c r="AA187" s="24" t="inlineStr">
        <is>
          <t>Gem and Jewellery Machine Operators</t>
        </is>
      </c>
      <c r="AB187" s="24" t="inlineStr">
        <is>
          <t>818</t>
        </is>
      </c>
      <c r="AC187" s="24" t="inlineStr">
        <is>
          <t>Other Stationary Plant and Machine Operators</t>
        </is>
      </c>
      <c r="AD187" s="24" t="n">
        <v>8</v>
      </c>
      <c r="AE187" s="24" t="inlineStr">
        <is>
          <t>Plant and Machine Operators, and Assemblers</t>
        </is>
      </c>
      <c r="AF187" s="24" t="inlineStr">
        <is>
          <t>2</t>
        </is>
      </c>
      <c r="AG187" s="24" t="inlineStr">
        <is>
          <t>8290.60</t>
        </is>
      </c>
      <c r="AH187" s="24" t="n"/>
      <c r="AI187" s="24" t="n"/>
    </row>
    <row r="188" ht="58.8" customHeight="1">
      <c r="A188" s="24" t="n">
        <v>186</v>
      </c>
      <c r="B188" s="24" t="inlineStr">
        <is>
          <t>8189.0501</t>
        </is>
      </c>
      <c r="C188" s="24" t="inlineStr">
        <is>
          <t>Casting Machine Operator</t>
        </is>
      </c>
      <c r="D188" s="25" t="inlineStr">
        <is>
          <t>Casting Machine Operator converts wax models to jewellery pieces through investment casting process. The individual invests the flask and then operates semi to fully-automated machines to pour and regulate the flow of molten precious metal into cavities created by melted wax, to produce cast jewellery pieces on mass scale.</t>
        </is>
      </c>
      <c r="E188" s="26" t="n"/>
      <c r="F188" s="26" t="n"/>
      <c r="G188" s="26" t="n"/>
      <c r="H188" s="26" t="n"/>
      <c r="I188" s="26" t="n"/>
      <c r="J188" s="26" t="n"/>
      <c r="K188" s="27" t="n"/>
      <c r="L188" s="27" t="n"/>
      <c r="M188" s="27" t="n"/>
      <c r="N188" s="27" t="n"/>
      <c r="O188" s="27" t="n"/>
      <c r="P188" s="26" t="n"/>
      <c r="Q188" s="26" t="n"/>
      <c r="R188" s="26" t="n"/>
      <c r="S188" s="26" t="n"/>
      <c r="T188" s="26" t="n"/>
      <c r="U188" s="26" t="n"/>
      <c r="V188" s="26" t="n"/>
      <c r="W188" s="26" t="n"/>
      <c r="X188" s="27" t="n"/>
      <c r="Y188" s="28">
        <f>IF(COUNTA(E188:J188,P188:W188)=0,"Not started",IF(COUNTA(E188:J188,P188:W188)&lt;14,"Incomplete",IF((AND(F188&lt;&gt;"",F188&amp;""&lt;&gt;"0",TRIM(K188)="")+AND(G188&lt;&gt;"",G188&amp;""&lt;&gt;"0",TRIM(L188)="")+AND(H188&lt;&gt;"",H188&amp;""&lt;&gt;"0",TRIM(M188)="")+AND(I188&lt;&gt;"",I188&amp;""&lt;&gt;"0",TRIM(N188)="")+AND(J188&lt;&gt;"",J188&amp;""&lt;&gt;"0",TRIM(O188)=""))&gt;0,"Add evidence","Complete")))</f>
        <v/>
      </c>
      <c r="Z188" s="24" t="inlineStr">
        <is>
          <t>8189</t>
        </is>
      </c>
      <c r="AA188" s="24" t="inlineStr">
        <is>
          <t>Gem and Jewellery Machine Operators</t>
        </is>
      </c>
      <c r="AB188" s="24" t="inlineStr">
        <is>
          <t>818</t>
        </is>
      </c>
      <c r="AC188" s="24" t="inlineStr">
        <is>
          <t>Other Stationary Plant and Machine Operators</t>
        </is>
      </c>
      <c r="AD188" s="24" t="n">
        <v>8</v>
      </c>
      <c r="AE188" s="24" t="inlineStr">
        <is>
          <t>Plant and Machine Operators, and Assemblers</t>
        </is>
      </c>
      <c r="AF188" s="24" t="inlineStr">
        <is>
          <t>2</t>
        </is>
      </c>
      <c r="AG188" s="24" t="n"/>
      <c r="AH188" s="24" t="inlineStr">
        <is>
          <t>G&amp;J/Q2808</t>
        </is>
      </c>
      <c r="AI188" s="24" t="inlineStr">
        <is>
          <t>4</t>
        </is>
      </c>
    </row>
    <row r="189" ht="85.19999999999999" customHeight="1">
      <c r="A189" s="24" t="n">
        <v>187</v>
      </c>
      <c r="B189" s="24" t="inlineStr">
        <is>
          <t>8212.1000</t>
        </is>
      </c>
      <c r="C189" s="24" t="inlineStr">
        <is>
          <t>Form Layer, Cable (Telephone Equipment Manufacturing)</t>
        </is>
      </c>
      <c r="D189" s="25" t="inlineStr">
        <is>
          <t>Form Layer, Cables (Telephone and Telegraph Equipment Mfg.) marks dimensions on cable board and fixes nails or jibs on it for making cables used in selector racks, relay sets, etc. Studies blue print and specifications of lay out of cables to be formed. Marks different lengths, bends etc. on plywood sheet cable board according to size and type of cable to be made. Drives nails or makes small holes and screws standard pins according to markings on cable board, following prescribed colour code and different cable connections. May assist in making cables.</t>
        </is>
      </c>
      <c r="E189" s="26" t="n"/>
      <c r="F189" s="26" t="n"/>
      <c r="G189" s="26" t="n"/>
      <c r="H189" s="26" t="n"/>
      <c r="I189" s="26" t="n"/>
      <c r="J189" s="26" t="n"/>
      <c r="K189" s="27" t="n"/>
      <c r="L189" s="27" t="n"/>
      <c r="M189" s="27" t="n"/>
      <c r="N189" s="27" t="n"/>
      <c r="O189" s="27" t="n"/>
      <c r="P189" s="26" t="n"/>
      <c r="Q189" s="26" t="n"/>
      <c r="R189" s="26" t="n"/>
      <c r="S189" s="26" t="n"/>
      <c r="T189" s="26" t="n"/>
      <c r="U189" s="26" t="n"/>
      <c r="V189" s="26" t="n"/>
      <c r="W189" s="26" t="n"/>
      <c r="X189" s="27" t="n"/>
      <c r="Y189" s="28">
        <f>IF(COUNTA(E189:J189,P189:W189)=0,"Not started",IF(COUNTA(E189:J189,P189:W189)&lt;14,"Incomplete",IF((AND(F189&lt;&gt;"",F189&amp;""&lt;&gt;"0",TRIM(K189)="")+AND(G189&lt;&gt;"",G189&amp;""&lt;&gt;"0",TRIM(L189)="")+AND(H189&lt;&gt;"",H189&amp;""&lt;&gt;"0",TRIM(M189)="")+AND(I189&lt;&gt;"",I189&amp;""&lt;&gt;"0",TRIM(N189)="")+AND(J189&lt;&gt;"",J189&amp;""&lt;&gt;"0",TRIM(O189)=""))&gt;0,"Add evidence","Complete")))</f>
        <v/>
      </c>
      <c r="Z189" s="24" t="inlineStr">
        <is>
          <t>8212</t>
        </is>
      </c>
      <c r="AA189" s="24" t="inlineStr">
        <is>
          <t>Electrical and Electronic Equipment Assemblers</t>
        </is>
      </c>
      <c r="AB189" s="24" t="inlineStr">
        <is>
          <t>821</t>
        </is>
      </c>
      <c r="AC189" s="24" t="inlineStr">
        <is>
          <t>Assemblers</t>
        </is>
      </c>
      <c r="AD189" s="24" t="n">
        <v>8</v>
      </c>
      <c r="AE189" s="24" t="inlineStr">
        <is>
          <t>Plant and Machine Operators, and Assemblers</t>
        </is>
      </c>
      <c r="AF189" s="24" t="inlineStr">
        <is>
          <t>2</t>
        </is>
      </c>
      <c r="AG189" s="24" t="inlineStr">
        <is>
          <t>8283.40</t>
        </is>
      </c>
      <c r="AH189" s="24" t="n"/>
      <c r="AI189" s="24" t="n"/>
    </row>
    <row r="190" ht="58.8" customHeight="1">
      <c r="A190" s="24" t="n">
        <v>188</v>
      </c>
      <c r="B190" s="24" t="inlineStr">
        <is>
          <t>8212.1808</t>
        </is>
      </c>
      <c r="C190" s="24" t="inlineStr">
        <is>
          <t>Wave Soldering Machine Operator</t>
        </is>
      </c>
      <c r="D190" s="25" t="inlineStr">
        <is>
          <t>Wave Soldering Machine Operator operates the wave soldering machine to solder the assembled components on printed circuit board (PCB). The individual at work is responsible for setting up, operating and maintaining the wave soldering machine in order to solder the different lots of assembled PCBs as per prescribed quality standards.</t>
        </is>
      </c>
      <c r="E190" s="26" t="n"/>
      <c r="F190" s="26" t="n"/>
      <c r="G190" s="26" t="n"/>
      <c r="H190" s="26" t="n"/>
      <c r="I190" s="26" t="n"/>
      <c r="J190" s="26" t="n"/>
      <c r="K190" s="27" t="n"/>
      <c r="L190" s="27" t="n"/>
      <c r="M190" s="27" t="n"/>
      <c r="N190" s="27" t="n"/>
      <c r="O190" s="27" t="n"/>
      <c r="P190" s="26" t="n"/>
      <c r="Q190" s="26" t="n"/>
      <c r="R190" s="26" t="n"/>
      <c r="S190" s="26" t="n"/>
      <c r="T190" s="26" t="n"/>
      <c r="U190" s="26" t="n"/>
      <c r="V190" s="26" t="n"/>
      <c r="W190" s="26" t="n"/>
      <c r="X190" s="27" t="n"/>
      <c r="Y190" s="28">
        <f>IF(COUNTA(E190:J190,P190:W190)=0,"Not started",IF(COUNTA(E190:J190,P190:W190)&lt;14,"Incomplete",IF((AND(F190&lt;&gt;"",F190&amp;""&lt;&gt;"0",TRIM(K190)="")+AND(G190&lt;&gt;"",G190&amp;""&lt;&gt;"0",TRIM(L190)="")+AND(H190&lt;&gt;"",H190&amp;""&lt;&gt;"0",TRIM(M190)="")+AND(I190&lt;&gt;"",I190&amp;""&lt;&gt;"0",TRIM(N190)="")+AND(J190&lt;&gt;"",J190&amp;""&lt;&gt;"0",TRIM(O190)=""))&gt;0,"Add evidence","Complete")))</f>
        <v/>
      </c>
      <c r="Z190" s="24" t="inlineStr">
        <is>
          <t>8212</t>
        </is>
      </c>
      <c r="AA190" s="24" t="inlineStr">
        <is>
          <t>Electrical and Electronic Equipment Assemblers</t>
        </is>
      </c>
      <c r="AB190" s="24" t="inlineStr">
        <is>
          <t>821</t>
        </is>
      </c>
      <c r="AC190" s="24" t="inlineStr">
        <is>
          <t>Assemblers</t>
        </is>
      </c>
      <c r="AD190" s="24" t="n">
        <v>8</v>
      </c>
      <c r="AE190" s="24" t="inlineStr">
        <is>
          <t>Plant and Machine Operators, and Assemblers</t>
        </is>
      </c>
      <c r="AF190" s="24" t="inlineStr">
        <is>
          <t>2</t>
        </is>
      </c>
      <c r="AG190" s="24" t="n"/>
      <c r="AH190" s="24" t="inlineStr">
        <is>
          <t>ELE/Q5303</t>
        </is>
      </c>
      <c r="AI190" s="24" t="inlineStr">
        <is>
          <t>3</t>
        </is>
      </c>
    </row>
    <row r="191" ht="45.59999999999999" customHeight="1">
      <c r="A191" s="24" t="n">
        <v>189</v>
      </c>
      <c r="B191" s="24" t="inlineStr">
        <is>
          <t>8212.1901</t>
        </is>
      </c>
      <c r="C191" s="24" t="inlineStr">
        <is>
          <t>Welding Operator</t>
        </is>
      </c>
      <c r="D191" s="25" t="inlineStr">
        <is>
          <t>Welding Operator welds the copper lead wire to the resistor using welding machine. The individual is responsible for welding the electro-tinned copper lead wire to the centre of steel and cap, bonding to the resistor by welding machine.</t>
        </is>
      </c>
      <c r="E191" s="26" t="n"/>
      <c r="F191" s="26" t="n"/>
      <c r="G191" s="26" t="n"/>
      <c r="H191" s="26" t="n"/>
      <c r="I191" s="26" t="n"/>
      <c r="J191" s="26" t="n"/>
      <c r="K191" s="27" t="n"/>
      <c r="L191" s="27" t="n"/>
      <c r="M191" s="27" t="n"/>
      <c r="N191" s="27" t="n"/>
      <c r="O191" s="27" t="n"/>
      <c r="P191" s="26" t="n"/>
      <c r="Q191" s="26" t="n"/>
      <c r="R191" s="26" t="n"/>
      <c r="S191" s="26" t="n"/>
      <c r="T191" s="26" t="n"/>
      <c r="U191" s="26" t="n"/>
      <c r="V191" s="26" t="n"/>
      <c r="W191" s="26" t="n"/>
      <c r="X191" s="27" t="n"/>
      <c r="Y191" s="28">
        <f>IF(COUNTA(E191:J191,P191:W191)=0,"Not started",IF(COUNTA(E191:J191,P191:W191)&lt;14,"Incomplete",IF((AND(F191&lt;&gt;"",F191&amp;""&lt;&gt;"0",TRIM(K191)="")+AND(G191&lt;&gt;"",G191&amp;""&lt;&gt;"0",TRIM(L191)="")+AND(H191&lt;&gt;"",H191&amp;""&lt;&gt;"0",TRIM(M191)="")+AND(I191&lt;&gt;"",I191&amp;""&lt;&gt;"0",TRIM(N191)="")+AND(J191&lt;&gt;"",J191&amp;""&lt;&gt;"0",TRIM(O191)=""))&gt;0,"Add evidence","Complete")))</f>
        <v/>
      </c>
      <c r="Z191" s="24" t="inlineStr">
        <is>
          <t>8212</t>
        </is>
      </c>
      <c r="AA191" s="24" t="inlineStr">
        <is>
          <t>Electrical and Electronic Equipment Assemblers</t>
        </is>
      </c>
      <c r="AB191" s="24" t="inlineStr">
        <is>
          <t>821</t>
        </is>
      </c>
      <c r="AC191" s="24" t="inlineStr">
        <is>
          <t>Assemblers</t>
        </is>
      </c>
      <c r="AD191" s="24" t="n">
        <v>8</v>
      </c>
      <c r="AE191" s="24" t="inlineStr">
        <is>
          <t>Plant and Machine Operators, and Assemblers</t>
        </is>
      </c>
      <c r="AF191" s="24" t="inlineStr">
        <is>
          <t>2</t>
        </is>
      </c>
      <c r="AG191" s="24" t="n"/>
      <c r="AH191" s="24" t="inlineStr">
        <is>
          <t>ELE/Q0102</t>
        </is>
      </c>
      <c r="AI191" s="24" t="inlineStr">
        <is>
          <t>4</t>
        </is>
      </c>
    </row>
    <row r="192" ht="45.59999999999999" customHeight="1">
      <c r="A192" s="24" t="n">
        <v>190</v>
      </c>
      <c r="B192" s="24" t="inlineStr">
        <is>
          <t>8212.2002</t>
        </is>
      </c>
      <c r="C192" s="24" t="inlineStr">
        <is>
          <t>PLC Assembly Operator</t>
        </is>
      </c>
      <c r="D192" s="25" t="inlineStr">
        <is>
          <t>PLC Assembly Operator is responsible for completing the printed circuit board (PCB) and box assembly of the PLC components. The individual at work assembles the power supply and micro-controller PCBs, sends them for programming and completes the box assembly thereafter.</t>
        </is>
      </c>
      <c r="E192" s="26" t="n"/>
      <c r="F192" s="26" t="n"/>
      <c r="G192" s="26" t="n"/>
      <c r="H192" s="26" t="n"/>
      <c r="I192" s="26" t="n"/>
      <c r="J192" s="26" t="n"/>
      <c r="K192" s="27" t="n"/>
      <c r="L192" s="27" t="n"/>
      <c r="M192" s="27" t="n"/>
      <c r="N192" s="27" t="n"/>
      <c r="O192" s="27" t="n"/>
      <c r="P192" s="26" t="n"/>
      <c r="Q192" s="26" t="n"/>
      <c r="R192" s="26" t="n"/>
      <c r="S192" s="26" t="n"/>
      <c r="T192" s="26" t="n"/>
      <c r="U192" s="26" t="n"/>
      <c r="V192" s="26" t="n"/>
      <c r="W192" s="26" t="n"/>
      <c r="X192" s="27" t="n"/>
      <c r="Y192" s="28">
        <f>IF(COUNTA(E192:J192,P192:W192)=0,"Not started",IF(COUNTA(E192:J192,P192:W192)&lt;14,"Incomplete",IF((AND(F192&lt;&gt;"",F192&amp;""&lt;&gt;"0",TRIM(K192)="")+AND(G192&lt;&gt;"",G192&amp;""&lt;&gt;"0",TRIM(L192)="")+AND(H192&lt;&gt;"",H192&amp;""&lt;&gt;"0",TRIM(M192)="")+AND(I192&lt;&gt;"",I192&amp;""&lt;&gt;"0",TRIM(N192)="")+AND(J192&lt;&gt;"",J192&amp;""&lt;&gt;"0",TRIM(O192)=""))&gt;0,"Add evidence","Complete")))</f>
        <v/>
      </c>
      <c r="Z192" s="24" t="inlineStr">
        <is>
          <t>8212</t>
        </is>
      </c>
      <c r="AA192" s="24" t="inlineStr">
        <is>
          <t>Electrical and Electronic Equipment Assemblers</t>
        </is>
      </c>
      <c r="AB192" s="24" t="inlineStr">
        <is>
          <t>821</t>
        </is>
      </c>
      <c r="AC192" s="24" t="inlineStr">
        <is>
          <t>Assemblers</t>
        </is>
      </c>
      <c r="AD192" s="24" t="n">
        <v>8</v>
      </c>
      <c r="AE192" s="24" t="inlineStr">
        <is>
          <t>Plant and Machine Operators, and Assemblers</t>
        </is>
      </c>
      <c r="AF192" s="24" t="inlineStr">
        <is>
          <t>2</t>
        </is>
      </c>
      <c r="AG192" s="24" t="n"/>
      <c r="AH192" s="24" t="inlineStr">
        <is>
          <t>ELE/Q7305</t>
        </is>
      </c>
      <c r="AI192" s="24" t="inlineStr">
        <is>
          <t>3</t>
        </is>
      </c>
    </row>
    <row r="193" ht="45.59999999999999" customHeight="1">
      <c r="A193" s="24" t="n">
        <v>191</v>
      </c>
      <c r="B193" s="24" t="inlineStr">
        <is>
          <t>8212.2701</t>
        </is>
      </c>
      <c r="C193" s="24" t="inlineStr">
        <is>
          <t>PCB Assembly Operator</t>
        </is>
      </c>
      <c r="D193" s="25" t="inlineStr">
        <is>
          <t>PCB Assembly Operator manually inserts electronic components for assembling on printed circuit board (PCB) as per the design. The individual on the job is responsible for manually placing different types of components on the PCB as per the design requirements and then soldering them.</t>
        </is>
      </c>
      <c r="E193" s="26" t="n"/>
      <c r="F193" s="26" t="n"/>
      <c r="G193" s="26" t="n"/>
      <c r="H193" s="26" t="n"/>
      <c r="I193" s="26" t="n"/>
      <c r="J193" s="26" t="n"/>
      <c r="K193" s="27" t="n"/>
      <c r="L193" s="27" t="n"/>
      <c r="M193" s="27" t="n"/>
      <c r="N193" s="27" t="n"/>
      <c r="O193" s="27" t="n"/>
      <c r="P193" s="26" t="n"/>
      <c r="Q193" s="26" t="n"/>
      <c r="R193" s="26" t="n"/>
      <c r="S193" s="26" t="n"/>
      <c r="T193" s="26" t="n"/>
      <c r="U193" s="26" t="n"/>
      <c r="V193" s="26" t="n"/>
      <c r="W193" s="26" t="n"/>
      <c r="X193" s="27" t="n"/>
      <c r="Y193" s="28">
        <f>IF(COUNTA(E193:J193,P193:W193)=0,"Not started",IF(COUNTA(E193:J193,P193:W193)&lt;14,"Incomplete",IF((AND(F193&lt;&gt;"",F193&amp;""&lt;&gt;"0",TRIM(K193)="")+AND(G193&lt;&gt;"",G193&amp;""&lt;&gt;"0",TRIM(L193)="")+AND(H193&lt;&gt;"",H193&amp;""&lt;&gt;"0",TRIM(M193)="")+AND(I193&lt;&gt;"",I193&amp;""&lt;&gt;"0",TRIM(N193)="")+AND(J193&lt;&gt;"",J193&amp;""&lt;&gt;"0",TRIM(O193)=""))&gt;0,"Add evidence","Complete")))</f>
        <v/>
      </c>
      <c r="Z193" s="24" t="inlineStr">
        <is>
          <t>8212</t>
        </is>
      </c>
      <c r="AA193" s="24" t="inlineStr">
        <is>
          <t>Electrical and Electronic Equipment Assemblers</t>
        </is>
      </c>
      <c r="AB193" s="24" t="inlineStr">
        <is>
          <t>821</t>
        </is>
      </c>
      <c r="AC193" s="24" t="inlineStr">
        <is>
          <t>Assemblers</t>
        </is>
      </c>
      <c r="AD193" s="24" t="n">
        <v>8</v>
      </c>
      <c r="AE193" s="24" t="inlineStr">
        <is>
          <t>Plant and Machine Operators, and Assemblers</t>
        </is>
      </c>
      <c r="AF193" s="24" t="inlineStr">
        <is>
          <t>2</t>
        </is>
      </c>
      <c r="AG193" s="24" t="n"/>
      <c r="AH193" s="24" t="inlineStr">
        <is>
          <t>ELE/Q7804</t>
        </is>
      </c>
      <c r="AI193" s="24" t="inlineStr">
        <is>
          <t>4</t>
        </is>
      </c>
    </row>
    <row r="194" ht="151.2" customHeight="1">
      <c r="A194" s="24" t="n">
        <v>192</v>
      </c>
      <c r="B194" s="24" t="inlineStr">
        <is>
          <t>8311.0300</t>
        </is>
      </c>
      <c r="C194" s="24" t="inlineStr">
        <is>
          <t>Driver, Railway Engine, (Diesel)</t>
        </is>
      </c>
      <c r="D194" s="25" t="inlineStr">
        <is>
          <t>Driver, Railway Engine (Diesel) drives diesel engine of railway train transporting passengers and goods. Takes charge of engine from Loco Shunter after examining various parts of engine for operational efficiency. Ensures that engine contains sufficient diesel and drives engine from loco-shed to traffic yard or station for attaching it to train with which booked. Receives token for movement from Station Master and starts train on receiving signal from Train Guard. Drives engine along scheduled route, regulating speed according to restrictions and clearance of track and keeps to scheduled timings. Exchanges signals with Train Guard en-route to maintain mutual contact. Supervises work of Cleaner and checks operation of engine by observing readings of different gauges and instruments. Drives engine to loco-shed on completion of journey, fills up necessary forms detailing required repairs and hands over engine to Loco Foreman or Loco-Shunter. Conducts running repairs in emergent cases. May also drive loco engine (steam), or petrol driven rail car.</t>
        </is>
      </c>
      <c r="E194" s="26" t="n"/>
      <c r="F194" s="26" t="n"/>
      <c r="G194" s="26" t="n"/>
      <c r="H194" s="26" t="n"/>
      <c r="I194" s="26" t="n"/>
      <c r="J194" s="26" t="n"/>
      <c r="K194" s="27" t="n"/>
      <c r="L194" s="27" t="n"/>
      <c r="M194" s="27" t="n"/>
      <c r="N194" s="27" t="n"/>
      <c r="O194" s="27" t="n"/>
      <c r="P194" s="26" t="n"/>
      <c r="Q194" s="26" t="n"/>
      <c r="R194" s="26" t="n"/>
      <c r="S194" s="26" t="n"/>
      <c r="T194" s="26" t="n"/>
      <c r="U194" s="26" t="n"/>
      <c r="V194" s="26" t="n"/>
      <c r="W194" s="26" t="n"/>
      <c r="X194" s="27" t="n"/>
      <c r="Y194" s="28">
        <f>IF(COUNTA(E194:J194,P194:W194)=0,"Not started",IF(COUNTA(E194:J194,P194:W194)&lt;14,"Incomplete",IF((AND(F194&lt;&gt;"",F194&amp;""&lt;&gt;"0",TRIM(K194)="")+AND(G194&lt;&gt;"",G194&amp;""&lt;&gt;"0",TRIM(L194)="")+AND(H194&lt;&gt;"",H194&amp;""&lt;&gt;"0",TRIM(M194)="")+AND(I194&lt;&gt;"",I194&amp;""&lt;&gt;"0",TRIM(N194)="")+AND(J194&lt;&gt;"",J194&amp;""&lt;&gt;"0",TRIM(O194)=""))&gt;0,"Add evidence","Complete")))</f>
        <v/>
      </c>
      <c r="Z194" s="24" t="inlineStr">
        <is>
          <t>8311</t>
        </is>
      </c>
      <c r="AA194" s="24" t="inlineStr">
        <is>
          <t>Locomotive Engine Drivers</t>
        </is>
      </c>
      <c r="AB194" s="24" t="inlineStr">
        <is>
          <t>831</t>
        </is>
      </c>
      <c r="AC194" s="24" t="inlineStr">
        <is>
          <t>Locomotive Engine Drivers and Related Workers</t>
        </is>
      </c>
      <c r="AD194" s="24" t="n">
        <v>8</v>
      </c>
      <c r="AE194" s="24" t="inlineStr">
        <is>
          <t>Plant and Machine Operators, and Assemblers</t>
        </is>
      </c>
      <c r="AF194" s="24" t="inlineStr">
        <is>
          <t>2</t>
        </is>
      </c>
      <c r="AG194" s="24" t="inlineStr">
        <is>
          <t>8311.30</t>
        </is>
      </c>
      <c r="AH194" s="24" t="n"/>
      <c r="AI194" s="24" t="n"/>
    </row>
    <row r="195" ht="85.19999999999999" customHeight="1">
      <c r="A195" s="24" t="n">
        <v>193</v>
      </c>
      <c r="B195" s="24" t="inlineStr">
        <is>
          <t>8321.0200</t>
        </is>
      </c>
      <c r="C195" s="24" t="inlineStr">
        <is>
          <t>Despatch Rider</t>
        </is>
      </c>
      <c r="D195" s="25" t="inlineStr">
        <is>
          <t>Despatch Rider delivers urgent messages, telegrams and important communications to addressees, riding auto or motor cycle, bicycle, etc. Receives urgent official messages, telegraphic or otherwise, from authorities for quick delivery to addressees. Keeps messages, telegrams for records in bag for security and carries them riding motor cycle, auto cycle, etc. according to road condition for delivery. Obtains receipt of delivery on peon book. May deliver dak in villages, riding on cycle or horse.</t>
        </is>
      </c>
      <c r="E195" s="26" t="n"/>
      <c r="F195" s="26" t="n"/>
      <c r="G195" s="26" t="n"/>
      <c r="H195" s="26" t="n"/>
      <c r="I195" s="26" t="n"/>
      <c r="J195" s="26" t="n"/>
      <c r="K195" s="27" t="n"/>
      <c r="L195" s="27" t="n"/>
      <c r="M195" s="27" t="n"/>
      <c r="N195" s="27" t="n"/>
      <c r="O195" s="27" t="n"/>
      <c r="P195" s="26" t="n"/>
      <c r="Q195" s="26" t="n"/>
      <c r="R195" s="26" t="n"/>
      <c r="S195" s="26" t="n"/>
      <c r="T195" s="26" t="n"/>
      <c r="U195" s="26" t="n"/>
      <c r="V195" s="26" t="n"/>
      <c r="W195" s="26" t="n"/>
      <c r="X195" s="27" t="n"/>
      <c r="Y195" s="28">
        <f>IF(COUNTA(E195:J195,P195:W195)=0,"Not started",IF(COUNTA(E195:J195,P195:W195)&lt;14,"Incomplete",IF((AND(F195&lt;&gt;"",F195&amp;""&lt;&gt;"0",TRIM(K195)="")+AND(G195&lt;&gt;"",G195&amp;""&lt;&gt;"0",TRIM(L195)="")+AND(H195&lt;&gt;"",H195&amp;""&lt;&gt;"0",TRIM(M195)="")+AND(I195&lt;&gt;"",I195&amp;""&lt;&gt;"0",TRIM(N195)="")+AND(J195&lt;&gt;"",J195&amp;""&lt;&gt;"0",TRIM(O195)=""))&gt;0,"Add evidence","Complete")))</f>
        <v/>
      </c>
      <c r="Z195" s="24" t="inlineStr">
        <is>
          <t>8321</t>
        </is>
      </c>
      <c r="AA195" s="24" t="inlineStr">
        <is>
          <t>Motorcycle Drivers</t>
        </is>
      </c>
      <c r="AB195" s="24" t="inlineStr">
        <is>
          <t>832</t>
        </is>
      </c>
      <c r="AC195" s="24" t="inlineStr">
        <is>
          <t>Car, Van and Motorcycle Drivers</t>
        </is>
      </c>
      <c r="AD195" s="24" t="n">
        <v>8</v>
      </c>
      <c r="AE195" s="24" t="inlineStr">
        <is>
          <t>Plant and Machine Operators, and Assemblers</t>
        </is>
      </c>
      <c r="AF195" s="24" t="inlineStr">
        <is>
          <t>2</t>
        </is>
      </c>
      <c r="AG195" s="24" t="inlineStr">
        <is>
          <t>8321.20</t>
        </is>
      </c>
      <c r="AH195" s="24" t="n"/>
      <c r="AI195" s="24" t="n"/>
    </row>
    <row r="196" ht="85.19999999999999" customHeight="1">
      <c r="A196" s="24" t="n">
        <v>194</v>
      </c>
      <c r="B196" s="24" t="inlineStr">
        <is>
          <t>8350.0600</t>
        </is>
      </c>
      <c r="C196" s="24" t="inlineStr">
        <is>
          <t>Boatman</t>
        </is>
      </c>
      <c r="D196" s="25" t="inlineStr">
        <is>
          <t>Boat Man piles boat to carry men and material across waterways, working alone or in groups. Checks boat for leakage or other damage. Moors boat in convenient place for enabling entry of persons or loading of cargo. Ensures that boats capacity is not exceeded and boats balance is maintained on water. Covers cargo if required to protect it from weather. Gets conversant with routes. Unmoors boat, propels and directs it by means of oars, rudder, pole, sails etc. Moors boat on reaching destination for persons to alight and for cargo to be unloaded. May load and unload cargo.</t>
        </is>
      </c>
      <c r="E196" s="26" t="n"/>
      <c r="F196" s="26" t="n"/>
      <c r="G196" s="26" t="n"/>
      <c r="H196" s="26" t="n"/>
      <c r="I196" s="26" t="n"/>
      <c r="J196" s="26" t="n"/>
      <c r="K196" s="27" t="n"/>
      <c r="L196" s="27" t="n"/>
      <c r="M196" s="27" t="n"/>
      <c r="N196" s="27" t="n"/>
      <c r="O196" s="27" t="n"/>
      <c r="P196" s="26" t="n"/>
      <c r="Q196" s="26" t="n"/>
      <c r="R196" s="26" t="n"/>
      <c r="S196" s="26" t="n"/>
      <c r="T196" s="26" t="n"/>
      <c r="U196" s="26" t="n"/>
      <c r="V196" s="26" t="n"/>
      <c r="W196" s="26" t="n"/>
      <c r="X196" s="27" t="n"/>
      <c r="Y196" s="28">
        <f>IF(COUNTA(E196:J196,P196:W196)=0,"Not started",IF(COUNTA(E196:J196,P196:W196)&lt;14,"Incomplete",IF((AND(F196&lt;&gt;"",F196&amp;""&lt;&gt;"0",TRIM(K196)="")+AND(G196&lt;&gt;"",G196&amp;""&lt;&gt;"0",TRIM(L196)="")+AND(H196&lt;&gt;"",H196&amp;""&lt;&gt;"0",TRIM(M196)="")+AND(I196&lt;&gt;"",I196&amp;""&lt;&gt;"0",TRIM(N196)="")+AND(J196&lt;&gt;"",J196&amp;""&lt;&gt;"0",TRIM(O196)=""))&gt;0,"Add evidence","Complete")))</f>
        <v/>
      </c>
      <c r="Z196" s="24" t="inlineStr">
        <is>
          <t>8350</t>
        </is>
      </c>
      <c r="AA196" s="24" t="inlineStr">
        <is>
          <t>Ships’ Deck Crews and Related Workers</t>
        </is>
      </c>
      <c r="AB196" s="24" t="inlineStr">
        <is>
          <t>835</t>
        </is>
      </c>
      <c r="AC196" s="24" t="inlineStr">
        <is>
          <t>Ships’ Deck Crews and Related Workers</t>
        </is>
      </c>
      <c r="AD196" s="24" t="n">
        <v>8</v>
      </c>
      <c r="AE196" s="24" t="inlineStr">
        <is>
          <t>Plant and Machine Operators, and Assemblers</t>
        </is>
      </c>
      <c r="AF196" s="24" t="inlineStr">
        <is>
          <t>2</t>
        </is>
      </c>
      <c r="AG196" s="24" t="inlineStr">
        <is>
          <t>8340.40</t>
        </is>
      </c>
      <c r="AH196" s="24" t="n"/>
      <c r="AI196" s="24" t="n"/>
    </row>
    <row r="197" ht="32.4" customHeight="1">
      <c r="A197" s="24" t="n">
        <v>195</v>
      </c>
      <c r="B197" s="24" t="inlineStr">
        <is>
          <t>9321.0102</t>
        </is>
      </c>
      <c r="C197" s="24" t="inlineStr">
        <is>
          <t>Packager and Despatcher</t>
        </is>
      </c>
      <c r="D197" s="25" t="inlineStr">
        <is>
          <t>The individual at work uses computers, design or planto packs the faceted and/or polished gemstones, ready or dispatch.</t>
        </is>
      </c>
      <c r="E197" s="26" t="n"/>
      <c r="F197" s="26" t="n"/>
      <c r="G197" s="26" t="n"/>
      <c r="H197" s="26" t="n"/>
      <c r="I197" s="26" t="n"/>
      <c r="J197" s="26" t="n"/>
      <c r="K197" s="27" t="n"/>
      <c r="L197" s="27" t="n"/>
      <c r="M197" s="27" t="n"/>
      <c r="N197" s="27" t="n"/>
      <c r="O197" s="27" t="n"/>
      <c r="P197" s="26" t="n"/>
      <c r="Q197" s="26" t="n"/>
      <c r="R197" s="26" t="n"/>
      <c r="S197" s="26" t="n"/>
      <c r="T197" s="26" t="n"/>
      <c r="U197" s="26" t="n"/>
      <c r="V197" s="26" t="n"/>
      <c r="W197" s="26" t="n"/>
      <c r="X197" s="27" t="n"/>
      <c r="Y197" s="28">
        <f>IF(COUNTA(E197:J197,P197:W197)=0,"Not started",IF(COUNTA(E197:J197,P197:W197)&lt;14,"Incomplete",IF((AND(F197&lt;&gt;"",F197&amp;""&lt;&gt;"0",TRIM(K197)="")+AND(G197&lt;&gt;"",G197&amp;""&lt;&gt;"0",TRIM(L197)="")+AND(H197&lt;&gt;"",H197&amp;""&lt;&gt;"0",TRIM(M197)="")+AND(I197&lt;&gt;"",I197&amp;""&lt;&gt;"0",TRIM(N197)="")+AND(J197&lt;&gt;"",J197&amp;""&lt;&gt;"0",TRIM(O197)=""))&gt;0,"Add evidence","Complete")))</f>
        <v/>
      </c>
      <c r="Z197" s="24" t="inlineStr">
        <is>
          <t>9321</t>
        </is>
      </c>
      <c r="AA197" s="24" t="inlineStr">
        <is>
          <t>Hand Packers</t>
        </is>
      </c>
      <c r="AB197" s="24" t="inlineStr">
        <is>
          <t>932</t>
        </is>
      </c>
      <c r="AC197" s="24" t="inlineStr">
        <is>
          <t>Manufacturing Labourers</t>
        </is>
      </c>
      <c r="AD197" s="24" t="n">
        <v>9</v>
      </c>
      <c r="AE197" s="24" t="inlineStr">
        <is>
          <t>Elementary Occupations</t>
        </is>
      </c>
      <c r="AF197" s="24" t="inlineStr">
        <is>
          <t>1</t>
        </is>
      </c>
      <c r="AG197" s="24" t="n"/>
      <c r="AH197" s="24" t="inlineStr">
        <is>
          <t>G&amp;J/Q7010</t>
        </is>
      </c>
      <c r="AI197" s="24" t="inlineStr">
        <is>
          <t>2</t>
        </is>
      </c>
    </row>
    <row r="198" ht="111.6" customHeight="1">
      <c r="A198" s="24" t="n">
        <v>196</v>
      </c>
      <c r="B198" s="24" t="inlineStr">
        <is>
          <t>9621.0300</t>
        </is>
      </c>
      <c r="C198" s="24" t="inlineStr">
        <is>
          <t>Caddie</t>
        </is>
      </c>
      <c r="D198" s="25" t="inlineStr">
        <is>
          <t>Caddie carries bags of golf equipment around golf course, delivering clubs to players as requested. Keeps different types of golf clubs in leather bag; places golf ball over the small mound (on which golf-ball is placed for first stroke by player) and advises players, on request, in selection of proper club for particular stroke and/or on peculiarities of course; follows golf-ball after hit along with player and locates it, supplies required type of golf club for further stroke; collects golf clubs from player at close of play, cleans them and keeps kit in good condition. May inform player about type, condition and location of hole; may assist golfprofessional (marker) in up-keep of golf course.</t>
        </is>
      </c>
      <c r="E198" s="26" t="n"/>
      <c r="F198" s="26" t="n"/>
      <c r="G198" s="26" t="n"/>
      <c r="H198" s="26" t="n"/>
      <c r="I198" s="26" t="n"/>
      <c r="J198" s="26" t="n"/>
      <c r="K198" s="27" t="n"/>
      <c r="L198" s="27" t="n"/>
      <c r="M198" s="27" t="n"/>
      <c r="N198" s="27" t="n"/>
      <c r="O198" s="27" t="n"/>
      <c r="P198" s="26" t="n"/>
      <c r="Q198" s="26" t="n"/>
      <c r="R198" s="26" t="n"/>
      <c r="S198" s="26" t="n"/>
      <c r="T198" s="26" t="n"/>
      <c r="U198" s="26" t="n"/>
      <c r="V198" s="26" t="n"/>
      <c r="W198" s="26" t="n"/>
      <c r="X198" s="27" t="n"/>
      <c r="Y198" s="28">
        <f>IF(COUNTA(E198:J198,P198:W198)=0,"Not started",IF(COUNTA(E198:J198,P198:W198)&lt;14,"Incomplete",IF((AND(F198&lt;&gt;"",F198&amp;""&lt;&gt;"0",TRIM(K198)="")+AND(G198&lt;&gt;"",G198&amp;""&lt;&gt;"0",TRIM(L198)="")+AND(H198&lt;&gt;"",H198&amp;""&lt;&gt;"0",TRIM(M198)="")+AND(I198&lt;&gt;"",I198&amp;""&lt;&gt;"0",TRIM(N198)="")+AND(J198&lt;&gt;"",J198&amp;""&lt;&gt;"0",TRIM(O198)=""))&gt;0,"Add evidence","Complete")))</f>
        <v/>
      </c>
      <c r="Z198" s="24" t="inlineStr">
        <is>
          <t>9621</t>
        </is>
      </c>
      <c r="AA198" s="24" t="inlineStr">
        <is>
          <t>Messengers, Package Deliverers and Luggage Porters</t>
        </is>
      </c>
      <c r="AB198" s="24" t="inlineStr">
        <is>
          <t>962</t>
        </is>
      </c>
      <c r="AC198" s="24" t="inlineStr">
        <is>
          <t>Other Elementary Workers</t>
        </is>
      </c>
      <c r="AD198" s="24" t="n">
        <v>9</v>
      </c>
      <c r="AE198" s="24" t="inlineStr">
        <is>
          <t>Elementary Occupations</t>
        </is>
      </c>
      <c r="AF198" s="24" t="inlineStr">
        <is>
          <t>1</t>
        </is>
      </c>
      <c r="AG198" s="24" t="inlineStr">
        <is>
          <t>9151.30</t>
        </is>
      </c>
      <c r="AH198" s="24" t="n"/>
      <c r="AI198" s="24" t="n"/>
    </row>
    <row r="199" ht="138" customHeight="1">
      <c r="A199" s="24" t="n">
        <v>197</v>
      </c>
      <c r="B199" s="24" t="inlineStr">
        <is>
          <t>9621.0400</t>
        </is>
      </c>
      <c r="C199" s="24" t="inlineStr">
        <is>
          <t>Bellhop (Hotel and Restaurant)</t>
        </is>
      </c>
      <c r="D199" s="25" t="inlineStr">
        <is>
          <t>Bellhop (Hotel and Restaurants) performs any combination of following duties to serve hotel guests. Escorts incoming hotel guests to rooms, assists with hand luggage, and offers information pertaining to available services and facilities of hotel, points of interest, and entertainment attractions. Inspects guest's room to ensure furnishings are in order and supplies are adequate. Explains features of room, such as operation of radio, television, and night-lock, and how to place telephone calls. Pages guests in lobby, dining room, or other parts of hotel. Delivers messages and runs errands. Delivers room service orders. Picks up articles for laundry and valet service. Calls taxi for guests. Transports guests about premises or local areas in car or motorized cart. Keeps record of calls for service. Delivers packages, suitcases, and trunks, and sets up sample rooms.</t>
        </is>
      </c>
      <c r="E199" s="26" t="n"/>
      <c r="F199" s="26" t="n"/>
      <c r="G199" s="26" t="n"/>
      <c r="H199" s="26" t="n"/>
      <c r="I199" s="26" t="n"/>
      <c r="J199" s="26" t="n"/>
      <c r="K199" s="27" t="n"/>
      <c r="L199" s="27" t="n"/>
      <c r="M199" s="27" t="n"/>
      <c r="N199" s="27" t="n"/>
      <c r="O199" s="27" t="n"/>
      <c r="P199" s="26" t="n"/>
      <c r="Q199" s="26" t="n"/>
      <c r="R199" s="26" t="n"/>
      <c r="S199" s="26" t="n"/>
      <c r="T199" s="26" t="n"/>
      <c r="U199" s="26" t="n"/>
      <c r="V199" s="26" t="n"/>
      <c r="W199" s="26" t="n"/>
      <c r="X199" s="27" t="n"/>
      <c r="Y199" s="28">
        <f>IF(COUNTA(E199:J199,P199:W199)=0,"Not started",IF(COUNTA(E199:J199,P199:W199)&lt;14,"Incomplete",IF((AND(F199&lt;&gt;"",F199&amp;""&lt;&gt;"0",TRIM(K199)="")+AND(G199&lt;&gt;"",G199&amp;""&lt;&gt;"0",TRIM(L199)="")+AND(H199&lt;&gt;"",H199&amp;""&lt;&gt;"0",TRIM(M199)="")+AND(I199&lt;&gt;"",I199&amp;""&lt;&gt;"0",TRIM(N199)="")+AND(J199&lt;&gt;"",J199&amp;""&lt;&gt;"0",TRIM(O199)=""))&gt;0,"Add evidence","Complete")))</f>
        <v/>
      </c>
      <c r="Z199" s="24" t="inlineStr">
        <is>
          <t>9621</t>
        </is>
      </c>
      <c r="AA199" s="24" t="inlineStr">
        <is>
          <t>Messengers, Package Deliverers and Luggage Porters</t>
        </is>
      </c>
      <c r="AB199" s="24" t="inlineStr">
        <is>
          <t>962</t>
        </is>
      </c>
      <c r="AC199" s="24" t="inlineStr">
        <is>
          <t>Other Elementary Workers</t>
        </is>
      </c>
      <c r="AD199" s="24" t="n">
        <v>9</v>
      </c>
      <c r="AE199" s="24" t="inlineStr">
        <is>
          <t>Elementary Occupations</t>
        </is>
      </c>
      <c r="AF199" s="24" t="inlineStr">
        <is>
          <t>1</t>
        </is>
      </c>
      <c r="AG199" s="24" t="inlineStr">
        <is>
          <t>9151.40</t>
        </is>
      </c>
      <c r="AH199" s="24" t="n"/>
      <c r="AI199" s="24" t="n"/>
    </row>
    <row r="200" ht="98.39999999999999" customHeight="1">
      <c r="A200" s="24" t="n">
        <v>198</v>
      </c>
      <c r="B200" s="24" t="inlineStr">
        <is>
          <t>9621.0600</t>
        </is>
      </c>
      <c r="C200" s="24" t="inlineStr">
        <is>
          <t>(Letter Box Peon) Post Man</t>
        </is>
      </c>
      <c r="D200" s="25" t="inlineStr">
        <is>
          <t>Letter Box Peon collects letters from letter boxes installed within his areas at scheduled hours and delivers them to post office. Follows planned route to clear letter boxes in his beat at fixed hours. Unlocks letter boxes and collects mail into mail bag. Removes plate indicating hour of clearance and replaces it with new plate indicating next clearance hour. Locks letter box and ensures proper fixation of hour plate and lock. Clears all letter boxes and delivers bags containing mail to post office. May sort incoming and outgoing mail at the post office. May stamp letters and covers, seal bags and load or unload them in the mail van.</t>
        </is>
      </c>
      <c r="E200" s="26" t="n"/>
      <c r="F200" s="26" t="n"/>
      <c r="G200" s="26" t="n"/>
      <c r="H200" s="26" t="n"/>
      <c r="I200" s="26" t="n"/>
      <c r="J200" s="26" t="n"/>
      <c r="K200" s="27" t="n"/>
      <c r="L200" s="27" t="n"/>
      <c r="M200" s="27" t="n"/>
      <c r="N200" s="27" t="n"/>
      <c r="O200" s="27" t="n"/>
      <c r="P200" s="26" t="n"/>
      <c r="Q200" s="26" t="n"/>
      <c r="R200" s="26" t="n"/>
      <c r="S200" s="26" t="n"/>
      <c r="T200" s="26" t="n"/>
      <c r="U200" s="26" t="n"/>
      <c r="V200" s="26" t="n"/>
      <c r="W200" s="26" t="n"/>
      <c r="X200" s="27" t="n"/>
      <c r="Y200" s="28">
        <f>IF(COUNTA(E200:J200,P200:W200)=0,"Not started",IF(COUNTA(E200:J200,P200:W200)&lt;14,"Incomplete",IF((AND(F200&lt;&gt;"",F200&amp;""&lt;&gt;"0",TRIM(K200)="")+AND(G200&lt;&gt;"",G200&amp;""&lt;&gt;"0",TRIM(L200)="")+AND(H200&lt;&gt;"",H200&amp;""&lt;&gt;"0",TRIM(M200)="")+AND(I200&lt;&gt;"",I200&amp;""&lt;&gt;"0",TRIM(N200)="")+AND(J200&lt;&gt;"",J200&amp;""&lt;&gt;"0",TRIM(O200)=""))&gt;0,"Add evidence","Complete")))</f>
        <v/>
      </c>
      <c r="Z200" s="24" t="inlineStr">
        <is>
          <t>9621</t>
        </is>
      </c>
      <c r="AA200" s="24" t="inlineStr">
        <is>
          <t>Messengers, Package Deliverers and Luggage Porters</t>
        </is>
      </c>
      <c r="AB200" s="24" t="inlineStr">
        <is>
          <t>962</t>
        </is>
      </c>
      <c r="AC200" s="24" t="inlineStr">
        <is>
          <t>Other Elementary Workers</t>
        </is>
      </c>
      <c r="AD200" s="24" t="n">
        <v>9</v>
      </c>
      <c r="AE200" s="24" t="inlineStr">
        <is>
          <t>Elementary Occupations</t>
        </is>
      </c>
      <c r="AF200" s="24" t="inlineStr">
        <is>
          <t>1</t>
        </is>
      </c>
      <c r="AG200" s="24" t="inlineStr">
        <is>
          <t>9151.60</t>
        </is>
      </c>
      <c r="AH200" s="24" t="n"/>
      <c r="AI200" s="24" t="n"/>
    </row>
    <row r="201" ht="124.8" customHeight="1">
      <c r="A201" s="24" t="n">
        <v>199</v>
      </c>
      <c r="B201" s="24" t="inlineStr">
        <is>
          <t>9623.0200</t>
        </is>
      </c>
      <c r="C201" s="24" t="inlineStr">
        <is>
          <t>Coin Collector</t>
        </is>
      </c>
      <c r="D201" s="25" t="inlineStr">
        <is>
          <t>Coin Collector drives vehicle over established route to collect money from and refill coin-operated amusement-game machines and vending machines that dispense merchandise, such as coffee, food, beverages, candy and condoms. Loads transport vehicle with supplies according to instructions. Drives vehicle to establishment, collects coins, refills machine, cleans inside of machines that dispense food or beverages, and records amount of money collected. Turns in money to cashiering department at completion of route and unloads truck. Reports malfunctioning machines to maintenance department for repair. May perform minor repairs or adjustments on machines, using hand tools, to correct malfunctions. May promote installation of new or additional coin-operated machines at locations of customers or potential customers.</t>
        </is>
      </c>
      <c r="E201" s="26" t="n"/>
      <c r="F201" s="26" t="n"/>
      <c r="G201" s="26" t="n"/>
      <c r="H201" s="26" t="n"/>
      <c r="I201" s="26" t="n"/>
      <c r="J201" s="26" t="n"/>
      <c r="K201" s="27" t="n"/>
      <c r="L201" s="27" t="n"/>
      <c r="M201" s="27" t="n"/>
      <c r="N201" s="27" t="n"/>
      <c r="O201" s="27" t="n"/>
      <c r="P201" s="26" t="n"/>
      <c r="Q201" s="26" t="n"/>
      <c r="R201" s="26" t="n"/>
      <c r="S201" s="26" t="n"/>
      <c r="T201" s="26" t="n"/>
      <c r="U201" s="26" t="n"/>
      <c r="V201" s="26" t="n"/>
      <c r="W201" s="26" t="n"/>
      <c r="X201" s="27" t="n"/>
      <c r="Y201" s="28">
        <f>IF(COUNTA(E201:J201,P201:W201)=0,"Not started",IF(COUNTA(E201:J201,P201:W201)&lt;14,"Incomplete",IF((AND(F201&lt;&gt;"",F201&amp;""&lt;&gt;"0",TRIM(K201)="")+AND(G201&lt;&gt;"",G201&amp;""&lt;&gt;"0",TRIM(L201)="")+AND(H201&lt;&gt;"",H201&amp;""&lt;&gt;"0",TRIM(M201)="")+AND(I201&lt;&gt;"",I201&amp;""&lt;&gt;"0",TRIM(N201)="")+AND(J201&lt;&gt;"",J201&amp;""&lt;&gt;"0",TRIM(O201)=""))&gt;0,"Add evidence","Complete")))</f>
        <v/>
      </c>
      <c r="Z201" s="24" t="inlineStr">
        <is>
          <t>9623</t>
        </is>
      </c>
      <c r="AA201" s="24" t="inlineStr">
        <is>
          <t>Meter Readers and Vending Machine Collectors</t>
        </is>
      </c>
      <c r="AB201" s="24" t="inlineStr">
        <is>
          <t>962</t>
        </is>
      </c>
      <c r="AC201" s="24" t="inlineStr">
        <is>
          <t>Other Elementary Workers</t>
        </is>
      </c>
      <c r="AD201" s="24" t="n">
        <v>9</v>
      </c>
      <c r="AE201" s="24" t="inlineStr">
        <is>
          <t>Elementary Occupations</t>
        </is>
      </c>
      <c r="AF201" s="24" t="inlineStr">
        <is>
          <t>1</t>
        </is>
      </c>
      <c r="AG201" s="24" t="inlineStr">
        <is>
          <t>9153.15</t>
        </is>
      </c>
      <c r="AH201" s="24" t="n"/>
      <c r="AI201" s="24" t="n"/>
    </row>
    <row r="202" ht="45.59999999999999" customHeight="1">
      <c r="A202" s="24" t="n">
        <v>200</v>
      </c>
      <c r="B202" s="24" t="inlineStr">
        <is>
          <t>9623.0501</t>
        </is>
      </c>
      <c r="C202" s="24" t="inlineStr">
        <is>
          <t>Tyre Inflation Attendant</t>
        </is>
      </c>
      <c r="D202" s="25" t="inlineStr">
        <is>
          <t>Tyre Inflation Attendant needs to maintain the air check facility existing at fuel stations. The individual needs to check the air pressure in vehicles coming into the fuel station using digital/manual air facility.</t>
        </is>
      </c>
      <c r="E202" s="26" t="n"/>
      <c r="F202" s="26" t="n"/>
      <c r="G202" s="26" t="n"/>
      <c r="H202" s="26" t="n"/>
      <c r="I202" s="26" t="n"/>
      <c r="J202" s="26" t="n"/>
      <c r="K202" s="27" t="n"/>
      <c r="L202" s="27" t="n"/>
      <c r="M202" s="27" t="n"/>
      <c r="N202" s="27" t="n"/>
      <c r="O202" s="27" t="n"/>
      <c r="P202" s="26" t="n"/>
      <c r="Q202" s="26" t="n"/>
      <c r="R202" s="26" t="n"/>
      <c r="S202" s="26" t="n"/>
      <c r="T202" s="26" t="n"/>
      <c r="U202" s="26" t="n"/>
      <c r="V202" s="26" t="n"/>
      <c r="W202" s="26" t="n"/>
      <c r="X202" s="27" t="n"/>
      <c r="Y202" s="28">
        <f>IF(COUNTA(E202:J202,P202:W202)=0,"Not started",IF(COUNTA(E202:J202,P202:W202)&lt;14,"Incomplete",IF((AND(F202&lt;&gt;"",F202&amp;""&lt;&gt;"0",TRIM(K202)="")+AND(G202&lt;&gt;"",G202&amp;""&lt;&gt;"0",TRIM(L202)="")+AND(H202&lt;&gt;"",H202&amp;""&lt;&gt;"0",TRIM(M202)="")+AND(I202&lt;&gt;"",I202&amp;""&lt;&gt;"0",TRIM(N202)="")+AND(J202&lt;&gt;"",J202&amp;""&lt;&gt;"0",TRIM(O202)=""))&gt;0,"Add evidence","Complete")))</f>
        <v/>
      </c>
      <c r="Z202" s="24" t="inlineStr">
        <is>
          <t>9623</t>
        </is>
      </c>
      <c r="AA202" s="24" t="inlineStr">
        <is>
          <t>Meter Readers and Vending Machine Collectors</t>
        </is>
      </c>
      <c r="AB202" s="24" t="inlineStr">
        <is>
          <t>962</t>
        </is>
      </c>
      <c r="AC202" s="24" t="inlineStr">
        <is>
          <t>Other Elementary Workers</t>
        </is>
      </c>
      <c r="AD202" s="24" t="n">
        <v>9</v>
      </c>
      <c r="AE202" s="24" t="inlineStr">
        <is>
          <t>Elementary Occupations</t>
        </is>
      </c>
      <c r="AF202" s="24" t="inlineStr">
        <is>
          <t>1</t>
        </is>
      </c>
      <c r="AG202" s="24" t="n"/>
      <c r="AH202" s="24" t="inlineStr">
        <is>
          <t>ASC/Q9603</t>
        </is>
      </c>
      <c r="AI202" s="24" t="inlineStr">
        <is>
          <t>2</t>
        </is>
      </c>
    </row>
    <row r="203" ht="85.19999999999999" customHeight="1"/>
    <row r="204" ht="32.4" customHeight="1"/>
    <row r="205" ht="32.4" customHeight="1"/>
    <row r="206" ht="32.4" customHeight="1"/>
    <row r="207" ht="32.4" customHeight="1"/>
    <row r="208" ht="217.2" customHeight="1"/>
    <row r="209" ht="45.59999999999999" customHeight="1"/>
    <row r="210" ht="32.4" customHeight="1"/>
    <row r="211" ht="217.2" customHeight="1"/>
    <row r="212" ht="85.19999999999999" customHeight="1"/>
    <row r="213" ht="124.8" customHeight="1"/>
    <row r="214" ht="164.4" customHeight="1"/>
    <row r="215" ht="111.6" customHeight="1"/>
    <row r="216" ht="58.8" customHeight="1"/>
    <row r="217" ht="177.6" customHeight="1"/>
    <row r="218" ht="72" customHeight="1"/>
    <row r="219" ht="124.8" customHeight="1"/>
    <row r="220" ht="111.6" customHeight="1"/>
    <row r="221" ht="58.8" customHeight="1"/>
    <row r="222" ht="98.39999999999999" customHeight="1"/>
    <row r="223" ht="190.8" customHeight="1"/>
    <row r="224" ht="138" customHeight="1"/>
    <row r="225" ht="151.2" customHeight="1"/>
    <row r="226" ht="230.4" customHeight="1"/>
    <row r="227" ht="72" customHeight="1"/>
    <row r="228" ht="32.4" customHeight="1"/>
    <row r="229" ht="138" customHeight="1"/>
    <row r="230" ht="124.8" customHeight="1"/>
    <row r="231" ht="177.6" customHeight="1"/>
    <row r="232" ht="190.8" customHeight="1"/>
    <row r="233" ht="98.39999999999999" customHeight="1"/>
    <row r="234" ht="164.4" customHeight="1"/>
    <row r="235" ht="138" customHeight="1"/>
    <row r="236" ht="98.39999999999999" customHeight="1"/>
    <row r="237" ht="204" customHeight="1"/>
    <row r="238" ht="164.4" customHeight="1"/>
    <row r="239" ht="151.2" customHeight="1"/>
    <row r="240" ht="190.8" customHeight="1"/>
    <row r="241" ht="177.6" customHeight="1"/>
    <row r="242" ht="124.8" customHeight="1"/>
    <row r="243" ht="164.4" customHeight="1"/>
    <row r="244" ht="190.8" customHeight="1"/>
    <row r="245" ht="45.59999999999999" customHeight="1"/>
    <row r="246" ht="164.4" customHeight="1"/>
    <row r="247" ht="204" customHeight="1"/>
    <row r="248" ht="138" customHeight="1"/>
    <row r="249" ht="151.2" customHeight="1"/>
    <row r="250" ht="409" customHeight="1"/>
    <row r="251" ht="151.2" customHeight="1"/>
    <row r="252" ht="85.19999999999999" customHeight="1"/>
    <row r="253" ht="85.19999999999999" customHeight="1"/>
    <row r="254" ht="164.4" customHeight="1"/>
    <row r="255" ht="151.2" customHeight="1"/>
    <row r="256" ht="45.59999999999999" customHeight="1"/>
    <row r="257" ht="164.4" customHeight="1"/>
    <row r="258" ht="243.6" customHeight="1"/>
    <row r="259" ht="111.6" customHeight="1"/>
    <row r="260" ht="138" customHeight="1"/>
    <row r="261" ht="190.8" customHeight="1"/>
    <row r="262" ht="85.19999999999999" customHeight="1"/>
    <row r="263" ht="111.6" customHeight="1"/>
    <row r="264" ht="45.59999999999999" customHeight="1"/>
    <row r="265" ht="124.8" customHeight="1"/>
    <row r="266" ht="164.4" customHeight="1"/>
    <row r="267" ht="72" customHeight="1"/>
    <row r="268" ht="85.19999999999999" customHeight="1"/>
    <row r="269" ht="98.39999999999999" customHeight="1"/>
    <row r="270" ht="98.39999999999999" customHeight="1"/>
    <row r="271" ht="138" customHeight="1"/>
    <row r="272" ht="177.6" customHeight="1"/>
    <row r="273" ht="124.8" customHeight="1"/>
    <row r="274" ht="138" customHeight="1"/>
    <row r="275" ht="138" customHeight="1"/>
    <row r="276" ht="124.8" customHeight="1"/>
    <row r="277" ht="177.6" customHeight="1"/>
    <row r="278" ht="138" customHeight="1"/>
    <row r="279" ht="164.4" customHeight="1"/>
    <row r="280" ht="98.39999999999999" customHeight="1"/>
    <row r="281" ht="164.4" customHeight="1"/>
    <row r="282" ht="190.8" customHeight="1"/>
    <row r="283" ht="111.6" customHeight="1"/>
    <row r="284" ht="151.2" customHeight="1"/>
    <row r="285" ht="111.6" customHeight="1"/>
    <row r="286" ht="164.4" customHeight="1"/>
    <row r="287" ht="217.2" customHeight="1"/>
    <row r="288" ht="190.8" customHeight="1"/>
    <row r="289" ht="151.2" customHeight="1"/>
    <row r="290" ht="270" customHeight="1"/>
    <row r="291" ht="32.4" customHeight="1"/>
    <row r="292" ht="204" customHeight="1"/>
    <row r="293" ht="124.8" customHeight="1"/>
    <row r="294" ht="32.4" customHeight="1"/>
    <row r="295" ht="190.8" customHeight="1"/>
    <row r="296" ht="204" customHeight="1"/>
    <row r="297" ht="138" customHeight="1"/>
    <row r="298" ht="164.4" customHeight="1"/>
    <row r="299" ht="32.4" customHeight="1"/>
    <row r="300" ht="177.6" customHeight="1"/>
    <row r="301" ht="32.4" customHeight="1"/>
    <row r="302" ht="32.4" customHeight="1"/>
    <row r="303" ht="45.59999999999999" customHeight="1"/>
    <row r="304" ht="230.4" customHeight="1"/>
    <row r="305" ht="190.8" customHeight="1"/>
    <row r="306" ht="177.6" customHeight="1"/>
    <row r="307" ht="243.6" customHeight="1"/>
    <row r="308" ht="138" customHeight="1"/>
    <row r="309" ht="164.4" customHeight="1"/>
    <row r="310" ht="32.4" customHeight="1"/>
    <row r="311" ht="32.4" customHeight="1"/>
    <row r="312" ht="32.4" customHeight="1"/>
    <row r="313" ht="45.59999999999999" customHeight="1"/>
    <row r="314" ht="58.8" customHeight="1"/>
    <row r="315" ht="32.4" customHeight="1"/>
    <row r="316" ht="164.4" customHeight="1"/>
    <row r="317" ht="85.19999999999999" customHeight="1"/>
    <row r="318" ht="230.4" customHeight="1"/>
    <row r="319" ht="45.59999999999999" customHeight="1"/>
    <row r="320" ht="217.2" customHeight="1"/>
    <row r="321" ht="72" customHeight="1"/>
    <row r="322" ht="58.8" customHeight="1"/>
    <row r="323" ht="151.2" customHeight="1"/>
    <row r="324" ht="190.8" customHeight="1"/>
    <row r="325" ht="98.39999999999999" customHeight="1"/>
    <row r="326" ht="151.2" customHeight="1"/>
    <row r="327" ht="45.59999999999999" customHeight="1"/>
    <row r="328" ht="204" customHeight="1"/>
    <row r="329" ht="124.8" customHeight="1"/>
    <row r="330" ht="72" customHeight="1"/>
    <row r="331" ht="58.8" customHeight="1"/>
    <row r="332" ht="58.8" customHeight="1"/>
    <row r="333" ht="217.2" customHeight="1"/>
    <row r="334" ht="138" customHeight="1"/>
    <row r="335" ht="151.2" customHeight="1"/>
    <row r="336" ht="217.2" customHeight="1"/>
    <row r="337" ht="58.8" customHeight="1"/>
    <row r="338" ht="58.8" customHeight="1"/>
    <row r="339" ht="98.39999999999999" customHeight="1"/>
    <row r="340" ht="72" customHeight="1"/>
    <row r="341" ht="58.8" customHeight="1"/>
    <row r="342" ht="243.6" customHeight="1"/>
    <row r="343" ht="230.4" customHeight="1"/>
    <row r="344" ht="138" customHeight="1"/>
    <row r="345" ht="177.6" customHeight="1"/>
    <row r="346" ht="177.6" customHeight="1"/>
    <row r="347" ht="164.4" customHeight="1"/>
    <row r="348" ht="124.8" customHeight="1"/>
    <row r="349" ht="151.2" customHeight="1"/>
    <row r="350" ht="409" customHeight="1"/>
    <row r="351" ht="138" customHeight="1"/>
    <row r="352" ht="72" customHeight="1"/>
    <row r="353" ht="177.6" customHeight="1"/>
    <row r="354" ht="151.2" customHeight="1"/>
    <row r="355" ht="98.39999999999999" customHeight="1"/>
    <row r="356" ht="58.8" customHeight="1"/>
    <row r="357" ht="204" customHeight="1"/>
    <row r="358" ht="85.19999999999999" customHeight="1"/>
    <row r="359" ht="72" customHeight="1"/>
    <row r="360" ht="230.4" customHeight="1"/>
    <row r="361" ht="217.2" customHeight="1"/>
    <row r="362" ht="85.19999999999999" customHeight="1"/>
    <row r="363" ht="151.2" customHeight="1"/>
    <row r="364" ht="72" customHeight="1"/>
    <row r="365" ht="58.8" customHeight="1"/>
    <row r="366" ht="177.6" customHeight="1"/>
    <row r="367" ht="151.2" customHeight="1"/>
    <row r="368" ht="45.59999999999999" customHeight="1"/>
    <row r="369" ht="72" customHeight="1"/>
    <row r="370" ht="190.8" customHeight="1"/>
    <row r="371" ht="111.6" customHeight="1"/>
    <row r="372" ht="45.59999999999999" customHeight="1"/>
    <row r="373" ht="45.59999999999999" customHeight="1"/>
    <row r="374" ht="58.8" customHeight="1"/>
    <row r="375" ht="72" customHeight="1"/>
    <row r="376" ht="58.8" customHeight="1"/>
    <row r="377" ht="45.59999999999999" customHeight="1"/>
    <row r="378" ht="217.2" customHeight="1"/>
    <row r="379" ht="138" customHeight="1"/>
    <row r="380" ht="138" customHeight="1"/>
    <row r="381" ht="72" customHeight="1"/>
    <row r="382" ht="58.8" customHeight="1"/>
    <row r="383" ht="72" customHeight="1"/>
    <row r="384" ht="72" customHeight="1"/>
    <row r="385" ht="85.19999999999999" customHeight="1"/>
    <row r="386" ht="58.8" customHeight="1"/>
    <row r="387" ht="45.59999999999999" customHeight="1"/>
    <row r="388" ht="138" customHeight="1"/>
    <row r="389" ht="85.19999999999999" customHeight="1"/>
    <row r="390" ht="85.19999999999999" customHeight="1"/>
    <row r="391" ht="217.2" customHeight="1"/>
    <row r="392" ht="164.4" customHeight="1"/>
    <row r="393" ht="230.4" customHeight="1"/>
    <row r="394" ht="177.6" customHeight="1"/>
    <row r="395" ht="32.4" customHeight="1"/>
    <row r="396" ht="32.4" customHeight="1"/>
    <row r="397" ht="58.8" customHeight="1"/>
    <row r="398" ht="45.59999999999999" customHeight="1"/>
    <row r="399" ht="164.4" customHeight="1"/>
    <row r="400" ht="58.8" customHeight="1"/>
    <row r="401" ht="111.6" customHeight="1"/>
    <row r="402" ht="85.19999999999999" customHeight="1"/>
    <row r="403" ht="32.4" customHeight="1"/>
    <row r="404" ht="151.2" customHeight="1"/>
    <row r="405" ht="111.6" customHeight="1"/>
    <row r="406" ht="111.6" customHeight="1"/>
    <row r="407" ht="177.6" customHeight="1"/>
    <row r="408" ht="164.4" customHeight="1"/>
    <row r="409" ht="98.39999999999999" customHeight="1"/>
    <row r="410" ht="190.8" customHeight="1"/>
    <row r="411" ht="98.39999999999999" customHeight="1"/>
    <row r="412" ht="111.6" customHeight="1"/>
    <row r="413" ht="124.8" customHeight="1"/>
    <row r="414" ht="164.4" customHeight="1"/>
    <row r="415" ht="58.8" customHeight="1"/>
    <row r="416" ht="72" customHeight="1"/>
    <row r="417" ht="32.4" customHeight="1"/>
    <row r="418" ht="217.2" customHeight="1"/>
    <row r="419" ht="45.59999999999999" customHeight="1"/>
    <row r="420" ht="45.59999999999999" customHeight="1"/>
    <row r="421" ht="45.59999999999999" customHeight="1"/>
    <row r="422" ht="32.4" customHeight="1"/>
    <row r="423" ht="32.4" customHeight="1"/>
    <row r="424" ht="32.4" customHeight="1"/>
    <row r="425" ht="32.4" customHeight="1"/>
    <row r="426" ht="32.4" customHeight="1"/>
    <row r="427" ht="32.4" customHeight="1"/>
    <row r="428" ht="32.4" customHeight="1"/>
    <row r="429" ht="32.4" customHeight="1"/>
    <row r="430" ht="151.2" customHeight="1"/>
    <row r="431" ht="45.59999999999999" customHeight="1"/>
    <row r="432" ht="151.2" customHeight="1"/>
    <row r="433" ht="32.4" customHeight="1"/>
    <row r="434" ht="32.4" customHeight="1"/>
    <row r="435" ht="124.8" customHeight="1"/>
    <row r="436" ht="124.8" customHeight="1"/>
    <row r="437" ht="111.6" customHeight="1"/>
    <row r="438" ht="138" customHeight="1"/>
    <row r="439" ht="138" customHeight="1"/>
    <row r="440" ht="32.4" customHeight="1"/>
    <row r="441" ht="111.6" customHeight="1"/>
    <row r="442" ht="98.39999999999999" customHeight="1"/>
    <row r="443" ht="85.19999999999999" customHeight="1"/>
    <row r="444" ht="85.19999999999999" customHeight="1"/>
    <row r="445" ht="124.8" customHeight="1"/>
    <row r="446" ht="190.8" customHeight="1"/>
    <row r="447" ht="85.19999999999999" customHeight="1"/>
    <row r="448" ht="111.6" customHeight="1"/>
    <row r="449" ht="72" customHeight="1"/>
    <row r="450" ht="58.8" customHeight="1"/>
    <row r="451" ht="111.6" customHeight="1"/>
    <row r="452" ht="72" customHeight="1"/>
    <row r="453" ht="124.8" customHeight="1"/>
    <row r="454" ht="98.39999999999999" customHeight="1"/>
    <row r="455" ht="164.4" customHeight="1"/>
    <row r="456" ht="124.8" customHeight="1"/>
    <row r="457" ht="164.4" customHeight="1"/>
    <row r="458" ht="164.4" customHeight="1"/>
    <row r="459" ht="151.2" customHeight="1"/>
    <row r="460" ht="45.59999999999999" customHeight="1"/>
    <row r="461" ht="72" customHeight="1"/>
    <row r="462" ht="32.4" customHeight="1"/>
    <row r="463" ht="138" customHeight="1"/>
    <row r="464" ht="151.2" customHeight="1"/>
    <row r="465" ht="85.19999999999999" customHeight="1"/>
    <row r="466" ht="124.8" customHeight="1"/>
    <row r="467" ht="32.4" customHeight="1"/>
    <row r="468" ht="190.8" customHeight="1"/>
    <row r="469" ht="85.19999999999999" customHeight="1"/>
    <row r="470" ht="45.59999999999999" customHeight="1"/>
    <row r="471" ht="45.59999999999999" customHeight="1"/>
    <row r="472" ht="32.4" customHeight="1"/>
    <row r="473" ht="177.6" customHeight="1"/>
    <row r="474" ht="151.2" customHeight="1"/>
    <row r="475" ht="85.19999999999999" customHeight="1"/>
    <row r="476" ht="138" customHeight="1"/>
    <row r="477" ht="177.6" customHeight="1"/>
    <row r="478" ht="58.8" customHeight="1"/>
    <row r="479" ht="32.4" customHeight="1"/>
    <row r="480" ht="138" customHeight="1"/>
    <row r="481" ht="72" customHeight="1"/>
    <row r="482" ht="85.19999999999999" customHeight="1"/>
    <row r="483" ht="58.8" customHeight="1"/>
    <row r="484" ht="72" customHeight="1"/>
    <row r="485" ht="85.19999999999999" customHeight="1"/>
    <row r="486" ht="32.4" customHeight="1"/>
    <row r="487" ht="164.4" customHeight="1"/>
    <row r="488" ht="72" customHeight="1"/>
    <row r="489" ht="230.4" customHeight="1"/>
    <row r="490" ht="124.8" customHeight="1"/>
    <row r="491" ht="58.8" customHeight="1"/>
    <row r="492" ht="58.8" customHeight="1"/>
    <row r="493" ht="58.8" customHeight="1"/>
    <row r="494" ht="45.59999999999999" customHeight="1"/>
    <row r="495" ht="45.59999999999999" customHeight="1"/>
    <row r="496" ht="58.8" customHeight="1"/>
    <row r="497" ht="45.59999999999999" customHeight="1"/>
    <row r="498" ht="85.19999999999999" customHeight="1"/>
    <row r="499" ht="111.6" customHeight="1"/>
    <row r="500" ht="32.4" customHeight="1"/>
    <row r="501" ht="138" customHeight="1"/>
    <row r="502" ht="32.4" customHeight="1"/>
    <row r="503" ht="204" customHeight="1"/>
    <row r="504" ht="217.2" customHeight="1"/>
    <row r="505" ht="111.6" customHeight="1"/>
    <row r="506" ht="85.19999999999999" customHeight="1"/>
    <row r="507" ht="45.59999999999999" customHeight="1"/>
    <row r="508" ht="111.6" customHeight="1"/>
    <row r="509" ht="85.19999999999999" customHeight="1"/>
    <row r="510" ht="151.2" customHeight="1"/>
    <row r="511" ht="32.4" customHeight="1"/>
    <row r="512" ht="151.2" customHeight="1"/>
    <row r="513" ht="217.2" customHeight="1"/>
    <row r="514" ht="32.4" customHeight="1"/>
    <row r="515" ht="111.6" customHeight="1"/>
    <row r="516" ht="85.19999999999999" customHeight="1"/>
    <row r="517" ht="138" customHeight="1"/>
    <row r="518" ht="98.39999999999999" customHeight="1"/>
    <row r="519" ht="85.19999999999999" customHeight="1"/>
    <row r="520" ht="111.6" customHeight="1"/>
    <row r="521" ht="124.8" customHeight="1"/>
    <row r="522" ht="151.2" customHeight="1"/>
    <row r="523" ht="111.6" customHeight="1"/>
    <row r="524" ht="98.39999999999999" customHeight="1"/>
    <row r="525" ht="98.39999999999999" customHeight="1"/>
    <row r="526" ht="85.19999999999999" customHeight="1"/>
    <row r="527" ht="45.59999999999999" customHeight="1"/>
    <row r="528" ht="85.19999999999999" customHeight="1"/>
    <row r="529" ht="85.19999999999999" customHeight="1"/>
    <row r="530" ht="111.6" customHeight="1"/>
    <row r="531" ht="111.6" customHeight="1"/>
    <row r="532" ht="98.39999999999999" customHeight="1"/>
    <row r="533" ht="58.8" customHeight="1"/>
    <row r="534" ht="32.4" customHeight="1"/>
    <row r="535" ht="85.19999999999999" customHeight="1"/>
    <row r="536" ht="58.8" customHeight="1"/>
    <row r="537" ht="85.19999999999999" customHeight="1"/>
    <row r="538" ht="32.4" customHeight="1"/>
    <row r="539" ht="124.8" customHeight="1"/>
    <row r="540" ht="45.59999999999999" customHeight="1"/>
    <row r="541" ht="124.8" customHeight="1"/>
    <row r="542" ht="32.4" customHeight="1"/>
    <row r="543" ht="85.19999999999999" customHeight="1"/>
    <row r="544" ht="98.39999999999999" customHeight="1"/>
    <row r="545" ht="98.39999999999999" customHeight="1"/>
    <row r="546" ht="85.19999999999999" customHeight="1"/>
    <row r="547" ht="32.4" customHeight="1"/>
    <row r="548" ht="72" customHeight="1"/>
    <row r="549" ht="32.4" customHeight="1"/>
    <row r="550" ht="72" customHeight="1"/>
    <row r="551" ht="58.8" customHeight="1"/>
    <row r="552" ht="45.59999999999999" customHeight="1"/>
    <row r="553" ht="72" customHeight="1"/>
    <row r="554" ht="256.8" customHeight="1"/>
    <row r="555" ht="45.59999999999999" customHeight="1"/>
    <row r="556" ht="190.8" customHeight="1"/>
    <row r="557" ht="270" customHeight="1"/>
    <row r="558" ht="32.4" customHeight="1"/>
    <row r="559" ht="256.8" customHeight="1"/>
    <row r="560" ht="204" customHeight="1"/>
    <row r="561" ht="164.4" customHeight="1"/>
    <row r="562" ht="111.6" customHeight="1"/>
    <row r="563" ht="72" customHeight="1"/>
    <row r="564" ht="111.6" customHeight="1"/>
    <row r="565" ht="32.4" customHeight="1"/>
    <row r="566" ht="58.8" customHeight="1"/>
    <row r="567" ht="230.4" customHeight="1"/>
    <row r="568" ht="32.4" customHeight="1"/>
    <row r="569" ht="164.4" customHeight="1"/>
    <row r="570" ht="138" customHeight="1"/>
    <row r="571" ht="45.59999999999999" customHeight="1"/>
    <row r="572" ht="177.6" customHeight="1"/>
    <row r="573" ht="190.8" customHeight="1"/>
    <row r="574" ht="190.8" customHeight="1"/>
    <row r="575" ht="72" customHeight="1"/>
    <row r="576" ht="98.39999999999999" customHeight="1"/>
    <row r="577" ht="32.4" customHeight="1"/>
    <row r="578" ht="58.8" customHeight="1"/>
    <row r="579" ht="45.59999999999999" customHeight="1"/>
    <row r="580" ht="204" customHeight="1"/>
    <row r="581" ht="45.59999999999999" customHeight="1"/>
    <row r="582" ht="58.8" customHeight="1"/>
    <row r="583" ht="45.59999999999999" customHeight="1"/>
    <row r="584" ht="32.4" customHeight="1"/>
    <row r="585" ht="138" customHeight="1"/>
    <row r="586" ht="58.8" customHeight="1"/>
    <row r="587" ht="58.8" customHeight="1"/>
    <row r="588" ht="45.59999999999999" customHeight="1"/>
    <row r="589" ht="58.8" customHeight="1"/>
    <row r="590" ht="45.59999999999999" customHeight="1"/>
    <row r="591" ht="45.59999999999999" customHeight="1"/>
    <row r="592" ht="32.4" customHeight="1"/>
    <row r="593" ht="32.4" customHeight="1"/>
    <row r="594" ht="98.39999999999999" customHeight="1"/>
    <row r="595" ht="151.2" customHeight="1"/>
    <row r="596" ht="58.8" customHeight="1"/>
    <row r="597" ht="111.6" customHeight="1"/>
    <row r="598" ht="190.8" customHeight="1"/>
    <row r="599" ht="32.4" customHeight="1"/>
    <row r="600" ht="124.8" customHeight="1"/>
    <row r="601" ht="58.8" customHeight="1"/>
    <row r="602" ht="85.19999999999999" customHeight="1"/>
    <row r="603" ht="138" customHeight="1"/>
    <row r="604" ht="58.8" customHeight="1"/>
    <row r="605" ht="85.19999999999999" customHeight="1"/>
    <row r="606" ht="85.19999999999999" customHeight="1"/>
    <row r="607" ht="72" customHeight="1"/>
    <row r="608" ht="177.6" customHeight="1"/>
    <row r="609" ht="72" customHeight="1"/>
    <row r="610" ht="72" customHeight="1"/>
    <row r="611" ht="230.4" customHeight="1"/>
    <row r="612" ht="32.4" customHeight="1"/>
    <row r="613" ht="32.4" customHeight="1"/>
    <row r="614" ht="32.4" customHeight="1"/>
    <row r="615" ht="58.8" customHeight="1"/>
    <row r="616" ht="45.59999999999999" customHeight="1"/>
    <row r="617" ht="58.8" customHeight="1"/>
    <row r="618" ht="45.59999999999999" customHeight="1"/>
    <row r="619" ht="230.4" customHeight="1"/>
    <row r="620" ht="138" customHeight="1"/>
    <row r="621" ht="45.59999999999999" customHeight="1"/>
    <row r="622" ht="45.59999999999999" customHeight="1"/>
    <row r="623" ht="45.59999999999999" customHeight="1"/>
    <row r="624" ht="58.8" customHeight="1"/>
    <row r="625" ht="32.4" customHeight="1"/>
    <row r="626" ht="32.4" customHeight="1"/>
    <row r="627" ht="349.2" customHeight="1"/>
    <row r="628" ht="58.8" customHeight="1"/>
    <row r="629" ht="58.8" customHeight="1"/>
    <row r="630" ht="58.8" customHeight="1"/>
    <row r="631" ht="45.59999999999999" customHeight="1"/>
    <row r="632" ht="45.59999999999999" customHeight="1"/>
    <row r="633" ht="151.2" customHeight="1"/>
    <row r="634" ht="58.8" customHeight="1"/>
    <row r="635" ht="32.4" customHeight="1"/>
    <row r="636" ht="58.8" customHeight="1"/>
    <row r="637" ht="58.8" customHeight="1"/>
    <row r="638" ht="45.59999999999999" customHeight="1"/>
    <row r="639" ht="217.2" customHeight="1"/>
    <row r="640" ht="256.8" customHeight="1"/>
    <row r="641" ht="58.8" customHeight="1"/>
    <row r="642" ht="58.8" customHeight="1"/>
    <row r="643" ht="32.4" customHeight="1"/>
    <row r="644" ht="58.8" customHeight="1"/>
    <row r="645" ht="45.59999999999999" customHeight="1"/>
    <row r="646" ht="283.2" customHeight="1"/>
    <row r="647" ht="58.8" customHeight="1"/>
    <row r="648" ht="243.6" customHeight="1"/>
    <row r="649" ht="58.8" customHeight="1"/>
    <row r="650" ht="164.4" customHeight="1"/>
    <row r="651" ht="217.2" customHeight="1"/>
    <row r="652" ht="72" customHeight="1"/>
    <row r="653" ht="72" customHeight="1"/>
    <row r="654" ht="45.59999999999999" customHeight="1"/>
    <row r="655" ht="32.4" customHeight="1"/>
    <row r="656" ht="138" customHeight="1"/>
    <row r="657" ht="124.8" customHeight="1"/>
    <row r="658" ht="138" customHeight="1"/>
    <row r="659" ht="72" customHeight="1"/>
    <row r="660" ht="164.4" customHeight="1"/>
    <row r="661" ht="124.8" customHeight="1"/>
    <row r="662" ht="98.39999999999999" customHeight="1"/>
    <row r="663" ht="124.8" customHeight="1"/>
    <row r="664" ht="151.2" customHeight="1"/>
    <row r="665" ht="32.4" customHeight="1"/>
    <row r="666" ht="32.4" customHeight="1"/>
    <row r="667" ht="32.4" customHeight="1"/>
    <row r="668" ht="177.6" customHeight="1"/>
    <row r="669" ht="204" customHeight="1"/>
    <row r="670" ht="151.2" customHeight="1"/>
    <row r="671" ht="85.19999999999999" customHeight="1"/>
    <row r="672" ht="111.6" customHeight="1"/>
    <row r="673" ht="270" customHeight="1"/>
    <row r="674" ht="98.39999999999999" customHeight="1"/>
    <row r="675" ht="85.19999999999999" customHeight="1"/>
    <row r="676" ht="72" customHeight="1"/>
    <row r="677" ht="138" customHeight="1"/>
    <row r="678" ht="124.8" customHeight="1"/>
    <row r="679" ht="111.6" customHeight="1"/>
    <row r="680" ht="111.6" customHeight="1"/>
    <row r="681" ht="32.4" customHeight="1"/>
    <row r="682" ht="151.2" customHeight="1"/>
    <row r="683" ht="151.2" customHeight="1"/>
    <row r="684" ht="177.6" customHeight="1"/>
    <row r="685" ht="138" customHeight="1"/>
    <row r="686" ht="111.6" customHeight="1"/>
    <row r="687" ht="111.6" customHeight="1"/>
    <row r="688" ht="98.39999999999999" customHeight="1"/>
    <row r="689" ht="124.8" customHeight="1"/>
    <row r="690" ht="138" customHeight="1"/>
    <row r="691" ht="85.19999999999999" customHeight="1"/>
    <row r="692" ht="32.4" customHeight="1"/>
    <row r="693" ht="151.2" customHeight="1"/>
    <row r="694" ht="151.2" customHeight="1"/>
    <row r="695" ht="204" customHeight="1"/>
    <row r="696" ht="85.19999999999999" customHeight="1"/>
    <row r="697" ht="362.4" customHeight="1"/>
    <row r="698" ht="296.4" customHeight="1"/>
    <row r="699" ht="296.4" customHeight="1"/>
    <row r="700" ht="45.59999999999999" customHeight="1"/>
    <row r="701" ht="151.2" customHeight="1"/>
    <row r="702" ht="98.39999999999999" customHeight="1"/>
    <row r="703" ht="98.39999999999999" customHeight="1"/>
    <row r="704" ht="204" customHeight="1"/>
    <row r="705" ht="32.4" customHeight="1"/>
    <row r="706" ht="45.59999999999999" customHeight="1"/>
    <row r="707" ht="138" customHeight="1"/>
    <row r="708" ht="124.8" customHeight="1"/>
    <row r="709" ht="177.6" customHeight="1"/>
    <row r="710" ht="32.4" customHeight="1"/>
    <row r="711" ht="124.8" customHeight="1"/>
    <row r="712" ht="72" customHeight="1"/>
    <row r="713" ht="124.8" customHeight="1"/>
    <row r="714" ht="124.8" customHeight="1"/>
    <row r="715" ht="98.39999999999999" customHeight="1"/>
    <row r="716" ht="98.39999999999999" customHeight="1"/>
    <row r="717" ht="256.8" customHeight="1"/>
    <row r="718" ht="270" customHeight="1"/>
    <row r="719" ht="256.8" customHeight="1"/>
    <row r="720" ht="98.39999999999999" customHeight="1"/>
    <row r="721" ht="177.6" customHeight="1"/>
    <row r="722" ht="177.6" customHeight="1"/>
    <row r="723" ht="58.8" customHeight="1"/>
    <row r="724" ht="111.6" customHeight="1"/>
    <row r="725" ht="111.6" customHeight="1"/>
    <row r="726" ht="111.6" customHeight="1"/>
    <row r="727" ht="98.39999999999999" customHeight="1"/>
    <row r="728" ht="72" customHeight="1"/>
    <row r="729" ht="124.8" customHeight="1"/>
    <row r="730" ht="72" customHeight="1"/>
    <row r="731" ht="204" customHeight="1"/>
    <row r="732" ht="85.19999999999999" customHeight="1"/>
    <row r="733" ht="217.2" customHeight="1"/>
    <row r="734" ht="217.2" customHeight="1"/>
    <row r="735" ht="177.6" customHeight="1"/>
    <row r="736" ht="230.4" customHeight="1"/>
    <row r="737" ht="190.8" customHeight="1"/>
    <row r="738" ht="177.6" customHeight="1"/>
    <row r="739" ht="45.59999999999999" customHeight="1"/>
    <row r="740" ht="138" customHeight="1"/>
    <row r="741" ht="151.2" customHeight="1"/>
    <row r="742" ht="124.8" customHeight="1"/>
    <row r="743" ht="151.2" customHeight="1"/>
    <row r="744" ht="230.4" customHeight="1"/>
    <row r="745" ht="256.8" customHeight="1"/>
    <row r="746" ht="111.6" customHeight="1"/>
    <row r="747" ht="151.2" customHeight="1"/>
    <row r="748" ht="111.6" customHeight="1"/>
    <row r="749" ht="138" customHeight="1"/>
    <row r="750" ht="164.4" customHeight="1"/>
    <row r="751" ht="45.59999999999999" customHeight="1"/>
    <row r="752" ht="164.4" customHeight="1"/>
    <row r="753" ht="72" customHeight="1"/>
    <row r="754" ht="151.2" customHeight="1"/>
    <row r="755" ht="58.8" customHeight="1"/>
    <row r="756" ht="85.19999999999999" customHeight="1"/>
    <row r="757" ht="151.2" customHeight="1"/>
    <row r="758" ht="32.4" customHeight="1"/>
    <row r="759" ht="85.19999999999999" customHeight="1"/>
    <row r="760" ht="45.59999999999999" customHeight="1"/>
    <row r="761" ht="58.8" customHeight="1"/>
    <row r="762" ht="32.4" customHeight="1"/>
    <row r="763" ht="32.4" customHeight="1"/>
    <row r="764" ht="45.59999999999999" customHeight="1"/>
    <row r="765" ht="72" customHeight="1"/>
    <row r="766" ht="85.19999999999999" customHeight="1"/>
    <row r="767" ht="85.19999999999999" customHeight="1"/>
    <row r="768" ht="45.59999999999999" customHeight="1"/>
    <row r="769" ht="111.6" customHeight="1"/>
    <row r="770" ht="58.8" customHeight="1"/>
    <row r="771" ht="45.59999999999999" customHeight="1"/>
    <row r="772" ht="72" customHeight="1"/>
    <row r="773" ht="164.4" customHeight="1"/>
    <row r="774" ht="85.19999999999999" customHeight="1"/>
    <row r="775" ht="98.39999999999999" customHeight="1"/>
    <row r="776" ht="45.59999999999999" customHeight="1"/>
    <row r="777" ht="72" customHeight="1"/>
    <row r="778" ht="45.59999999999999" customHeight="1"/>
    <row r="779" ht="45.59999999999999" customHeight="1"/>
    <row r="780" ht="45.59999999999999" customHeight="1"/>
    <row r="781" ht="138" customHeight="1"/>
    <row r="782" ht="85.19999999999999" customHeight="1"/>
    <row r="783" ht="217.2" customHeight="1"/>
    <row r="784" ht="111.6" customHeight="1"/>
    <row r="785" ht="85.19999999999999" customHeight="1"/>
    <row r="786" ht="98.39999999999999" customHeight="1"/>
    <row r="787" ht="45.59999999999999" customHeight="1"/>
    <row r="788" ht="72" customHeight="1"/>
    <row r="789" ht="98.39999999999999" customHeight="1"/>
    <row r="790" ht="72" customHeight="1"/>
    <row r="791" ht="98.39999999999999" customHeight="1"/>
    <row r="792" ht="98.39999999999999" customHeight="1"/>
    <row r="793" ht="85.19999999999999" customHeight="1"/>
    <row r="794" ht="32.4" customHeight="1"/>
    <row r="795" ht="72" customHeight="1"/>
    <row r="796" ht="85.19999999999999" customHeight="1"/>
    <row r="797" ht="164.4" customHeight="1"/>
    <row r="798" ht="32.4" customHeight="1"/>
    <row r="799" ht="151.2" customHeight="1"/>
    <row r="800" ht="124.8" customHeight="1"/>
    <row r="801" ht="72" customHeight="1"/>
    <row r="802" ht="32.4" customHeight="1"/>
    <row r="803" ht="138" customHeight="1"/>
    <row r="804" ht="151.2" customHeight="1"/>
    <row r="805" ht="72" customHeight="1"/>
    <row r="806" ht="72" customHeight="1"/>
    <row r="807" ht="124.8" customHeight="1"/>
    <row r="808" ht="32.4" customHeight="1"/>
    <row r="809" ht="32.4" customHeight="1"/>
    <row r="810" ht="72" customHeight="1"/>
    <row r="811" ht="72" customHeight="1"/>
    <row r="812" ht="32.4" customHeight="1"/>
    <row r="813" ht="85.19999999999999" customHeight="1"/>
    <row r="814" ht="98.39999999999999" customHeight="1"/>
    <row r="815" ht="45.59999999999999" customHeight="1"/>
    <row r="816" ht="85.19999999999999" customHeight="1"/>
    <row r="817" ht="111.6" customHeight="1"/>
    <row r="818" ht="85.19999999999999" customHeight="1"/>
    <row r="819" ht="72" customHeight="1"/>
    <row r="820" ht="45.59999999999999" customHeight="1"/>
    <row r="821" ht="72" customHeight="1"/>
    <row r="822" ht="85.19999999999999" customHeight="1"/>
    <row r="823" ht="85.19999999999999" customHeight="1"/>
    <row r="824" ht="111.6" customHeight="1"/>
    <row r="825" ht="85.19999999999999" customHeight="1"/>
    <row r="826" ht="85.19999999999999" customHeight="1"/>
    <row r="827" ht="85.19999999999999" customHeight="1"/>
    <row r="828" ht="124.8" customHeight="1"/>
    <row r="829" ht="111.6" customHeight="1"/>
    <row r="830" ht="98.39999999999999" customHeight="1"/>
    <row r="831" ht="138" customHeight="1"/>
    <row r="832" ht="111.6" customHeight="1"/>
    <row r="833" ht="177.6" customHeight="1"/>
    <row r="834" ht="164.4" customHeight="1"/>
    <row r="835" ht="85.19999999999999" customHeight="1"/>
    <row r="836" ht="85.19999999999999" customHeight="1"/>
    <row r="837" ht="32.4" customHeight="1"/>
    <row r="838" ht="164.4" customHeight="1"/>
    <row r="839" ht="164.4" customHeight="1"/>
    <row r="840" ht="124.8" customHeight="1"/>
    <row r="841" ht="45.59999999999999" customHeight="1"/>
    <row r="842" ht="124.8" customHeight="1"/>
    <row r="843" ht="58.8" customHeight="1"/>
    <row r="844" ht="58.8" customHeight="1"/>
    <row r="845" ht="32.4" customHeight="1"/>
    <row r="846" ht="164.4" customHeight="1"/>
    <row r="847" ht="32.4" customHeight="1"/>
    <row r="848" ht="45.59999999999999" customHeight="1"/>
    <row r="849" ht="190.8" customHeight="1"/>
    <row r="850" ht="177.6" customHeight="1"/>
    <row r="851" ht="58.8" customHeight="1"/>
    <row r="852" ht="58.8" customHeight="1"/>
    <row r="853" ht="85.19999999999999" customHeight="1"/>
    <row r="854" ht="58.8" customHeight="1"/>
    <row r="855" ht="72" customHeight="1"/>
    <row r="856" ht="45.59999999999999" customHeight="1"/>
    <row r="857" ht="98.39999999999999" customHeight="1"/>
    <row r="858" ht="72" customHeight="1"/>
    <row r="859" ht="45.59999999999999" customHeight="1"/>
    <row r="860" ht="45.59999999999999" customHeight="1"/>
    <row r="861" ht="32.4" customHeight="1"/>
    <row r="862" ht="256.8" customHeight="1"/>
    <row r="863" ht="124.8" customHeight="1"/>
    <row r="864" ht="45.59999999999999" customHeight="1"/>
    <row r="865" ht="58.8" customHeight="1"/>
    <row r="866" ht="85.19999999999999" customHeight="1"/>
    <row r="867" ht="85.19999999999999" customHeight="1"/>
    <row r="868" ht="72" customHeight="1"/>
    <row r="869" ht="45.59999999999999" customHeight="1"/>
    <row r="870" ht="45.59999999999999" customHeight="1"/>
    <row r="871" ht="58.8" customHeight="1"/>
    <row r="872" ht="72" customHeight="1"/>
    <row r="873" ht="32.4" customHeight="1"/>
    <row r="874" ht="45.59999999999999" customHeight="1"/>
    <row r="875" ht="177.6" customHeight="1"/>
    <row r="876" ht="58.8" customHeight="1"/>
    <row r="877" ht="32.4" customHeight="1"/>
    <row r="878" ht="72" customHeight="1"/>
    <row r="879" ht="58.8" customHeight="1"/>
    <row r="880" ht="164.4" customHeight="1"/>
    <row r="881" ht="72" customHeight="1"/>
    <row r="882" ht="32.4" customHeight="1"/>
    <row r="883" ht="45.59999999999999" customHeight="1"/>
    <row r="884" ht="58.8" customHeight="1"/>
    <row r="885" ht="32.4" customHeight="1"/>
    <row r="886" ht="45.59999999999999" customHeight="1"/>
    <row r="887" ht="164.4" customHeight="1"/>
    <row r="888" ht="111.6" customHeight="1"/>
    <row r="889" ht="138" customHeight="1"/>
    <row r="890" ht="45.59999999999999" customHeight="1"/>
    <row r="891" ht="58.8" customHeight="1"/>
    <row r="892" ht="151.2" customHeight="1"/>
    <row r="893" ht="98.39999999999999" customHeight="1"/>
    <row r="894" ht="111.6" customHeight="1"/>
    <row r="895" ht="45.59999999999999" customHeight="1"/>
    <row r="896" ht="72" customHeight="1"/>
    <row r="897" ht="177.6" customHeight="1"/>
    <row r="898" ht="151.2" customHeight="1"/>
    <row r="899" ht="98.39999999999999" customHeight="1"/>
    <row r="900" ht="230.4" customHeight="1"/>
    <row r="901" ht="111.6" customHeight="1"/>
    <row r="902" ht="45.59999999999999" customHeight="1"/>
    <row r="903" ht="124.8" customHeight="1"/>
    <row r="904" ht="190.8" customHeight="1"/>
    <row r="905" ht="72" customHeight="1"/>
    <row r="906" ht="45.59999999999999" customHeight="1"/>
    <row r="907" ht="124.8" customHeight="1"/>
    <row r="908" ht="124.8" customHeight="1"/>
    <row r="909" ht="32.4" customHeight="1"/>
    <row r="910" ht="138" customHeight="1"/>
    <row r="911" ht="72" customHeight="1"/>
    <row r="912" ht="72" customHeight="1"/>
    <row r="913" ht="124.8" customHeight="1"/>
    <row r="914" ht="58.8" customHeight="1"/>
    <row r="915" ht="138" customHeight="1"/>
    <row r="916" ht="72" customHeight="1"/>
    <row r="917" ht="58.8" customHeight="1"/>
    <row r="918" ht="138" customHeight="1"/>
    <row r="919" ht="204" customHeight="1"/>
    <row r="920" ht="32.4" customHeight="1"/>
    <row r="921" ht="164.4" customHeight="1"/>
    <row r="922" ht="190.8" customHeight="1"/>
    <row r="923" ht="164.4" customHeight="1"/>
    <row r="924" ht="138" customHeight="1"/>
    <row r="925" ht="85.19999999999999" customHeight="1"/>
    <row r="926" ht="98.39999999999999" customHeight="1"/>
    <row r="927" ht="124.8" customHeight="1"/>
    <row r="928" ht="124.8" customHeight="1"/>
    <row r="929" ht="164.4" customHeight="1"/>
    <row r="930" ht="58.8" customHeight="1"/>
    <row r="931" ht="177.6" customHeight="1"/>
    <row r="932" ht="32.4" customHeight="1"/>
    <row r="933" ht="151.2" customHeight="1"/>
    <row r="934" ht="124.8" customHeight="1"/>
    <row r="935" ht="124.8" customHeight="1"/>
    <row r="936" ht="164.4" customHeight="1"/>
    <row r="937" ht="98.39999999999999" customHeight="1"/>
    <row r="938" ht="98.39999999999999" customHeight="1"/>
    <row r="939" ht="124.8" customHeight="1"/>
    <row r="940" ht="72" customHeight="1"/>
    <row r="941" ht="58.8" customHeight="1"/>
    <row r="942" ht="138" customHeight="1"/>
    <row r="943" ht="98.39999999999999" customHeight="1"/>
    <row r="944" ht="72" customHeight="1"/>
    <row r="945" ht="151.2" customHeight="1"/>
    <row r="946" ht="111.6" customHeight="1"/>
    <row r="947" ht="98.39999999999999" customHeight="1"/>
    <row r="948" ht="151.2" customHeight="1"/>
    <row r="949" ht="138" customHeight="1"/>
    <row r="950" ht="111.6" customHeight="1"/>
    <row r="951" ht="138" customHeight="1"/>
    <row r="952" ht="164.4" customHeight="1"/>
    <row r="953" ht="164.4" customHeight="1"/>
    <row r="954" ht="138" customHeight="1"/>
    <row r="955" ht="164.4" customHeight="1"/>
    <row r="956" ht="111.6" customHeight="1"/>
    <row r="957" ht="124.8" customHeight="1"/>
    <row r="958" ht="138" customHeight="1"/>
    <row r="959" ht="124.8" customHeight="1"/>
    <row r="960" ht="85.19999999999999" customHeight="1"/>
    <row r="961" ht="111.6" customHeight="1"/>
    <row r="962" ht="138" customHeight="1"/>
    <row r="963" ht="124.8" customHeight="1"/>
    <row r="964" ht="124.8" customHeight="1"/>
    <row r="965" ht="177.6" customHeight="1"/>
    <row r="966" ht="85.19999999999999" customHeight="1"/>
    <row r="967" ht="138" customHeight="1"/>
    <row r="968" ht="124.8" customHeight="1"/>
    <row r="969" ht="138" customHeight="1"/>
    <row r="970" ht="98.39999999999999" customHeight="1"/>
    <row r="971" ht="111.6" customHeight="1"/>
    <row r="972" ht="45.59999999999999" customHeight="1"/>
    <row r="973" ht="111.6" customHeight="1"/>
    <row r="974" ht="98.39999999999999" customHeight="1"/>
    <row r="975" ht="98.39999999999999" customHeight="1"/>
    <row r="976" ht="124.8" customHeight="1"/>
    <row r="977" ht="98.39999999999999" customHeight="1"/>
    <row r="978" ht="138" customHeight="1"/>
    <row r="979" ht="124.8" customHeight="1"/>
    <row r="980" ht="164.4" customHeight="1"/>
    <row r="981" ht="164.4" customHeight="1"/>
    <row r="982" ht="45.59999999999999" customHeight="1"/>
    <row r="983" ht="111.6" customHeight="1"/>
    <row r="984" ht="98.39999999999999" customHeight="1"/>
    <row r="985" ht="98.39999999999999" customHeight="1"/>
    <row r="986" ht="85.19999999999999" customHeight="1"/>
    <row r="987" ht="98.39999999999999" customHeight="1"/>
    <row r="988" ht="98.39999999999999" customHeight="1"/>
    <row r="989" ht="124.8" customHeight="1"/>
    <row r="990" ht="138" customHeight="1"/>
    <row r="991" ht="164.4" customHeight="1"/>
    <row r="992" ht="151.2" customHeight="1"/>
    <row r="993" ht="164.4" customHeight="1"/>
    <row r="994" ht="177.6" customHeight="1"/>
    <row r="995" ht="151.2" customHeight="1"/>
    <row r="996" ht="151.2" customHeight="1"/>
    <row r="997" ht="151.2" customHeight="1"/>
    <row r="998" ht="98.39999999999999" customHeight="1"/>
    <row r="999" ht="151.2" customHeight="1"/>
    <row r="1000" ht="138" customHeight="1"/>
    <row r="1001" ht="151.2" customHeight="1"/>
    <row r="1002" ht="151.2" customHeight="1"/>
    <row r="1003" ht="72" customHeight="1"/>
    <row r="1004" ht="85.19999999999999" customHeight="1"/>
    <row r="1005" ht="85.19999999999999" customHeight="1"/>
    <row r="1006" ht="85.19999999999999" customHeight="1"/>
    <row r="1007" ht="85.19999999999999" customHeight="1"/>
    <row r="1008" ht="85.19999999999999" customHeight="1"/>
    <row r="1009" ht="85.19999999999999" customHeight="1"/>
    <row r="1010" ht="85.19999999999999" customHeight="1"/>
    <row r="1011" ht="98.39999999999999" customHeight="1"/>
    <row r="1012" ht="85.19999999999999" customHeight="1"/>
    <row r="1013" ht="45.59999999999999" customHeight="1"/>
    <row r="1014" ht="164.4" customHeight="1"/>
    <row r="1015" ht="151.2" customHeight="1"/>
    <row r="1016" ht="164.4" customHeight="1"/>
    <row r="1017" ht="151.2" customHeight="1"/>
    <row r="1018" ht="111.6" customHeight="1"/>
    <row r="1019" ht="45.59999999999999" customHeight="1"/>
    <row r="1020" ht="45.59999999999999" customHeight="1"/>
    <row r="1021" ht="151.2" customHeight="1"/>
    <row r="1022" ht="138" customHeight="1"/>
    <row r="1023" ht="138" customHeight="1"/>
    <row r="1024" ht="32.4" customHeight="1"/>
    <row r="1025" ht="32.4" customHeight="1"/>
    <row r="1026" ht="177.6" customHeight="1"/>
    <row r="1027" ht="151.2" customHeight="1"/>
    <row r="1028" ht="58.8" customHeight="1"/>
    <row r="1029" ht="58.8" customHeight="1"/>
    <row r="1030" ht="58.8" customHeight="1"/>
    <row r="1031" ht="85.19999999999999" customHeight="1"/>
    <row r="1032" ht="124.8" customHeight="1"/>
    <row r="1033" ht="138" customHeight="1"/>
    <row r="1034" ht="124.8" customHeight="1"/>
    <row r="1035" ht="204" customHeight="1"/>
    <row r="1036" ht="217.2" customHeight="1"/>
    <row r="1037" ht="138" customHeight="1"/>
    <row r="1038" ht="138" customHeight="1"/>
    <row r="1039" ht="85.19999999999999" customHeight="1"/>
    <row r="1040" ht="124.8" customHeight="1"/>
    <row r="1041" ht="204" customHeight="1"/>
    <row r="1042" ht="45.59999999999999" customHeight="1"/>
    <row r="1043" ht="138" customHeight="1"/>
    <row r="1044" ht="98.39999999999999" customHeight="1"/>
    <row r="1045" ht="124.8" customHeight="1"/>
    <row r="1046" ht="138" customHeight="1"/>
    <row r="1047" ht="58.8" customHeight="1"/>
    <row r="1048" ht="124.8" customHeight="1"/>
    <row r="1049" ht="124.8" customHeight="1"/>
    <row r="1050" ht="177.6" customHeight="1"/>
    <row r="1051" ht="164.4" customHeight="1"/>
    <row r="1052" ht="124.8" customHeight="1"/>
    <row r="1053" ht="138" customHeight="1"/>
    <row r="1054" ht="85.19999999999999" customHeight="1"/>
    <row r="1055" ht="124.8" customHeight="1"/>
    <row r="1056" ht="58.8" customHeight="1"/>
    <row r="1057" ht="164.4" customHeight="1"/>
    <row r="1058" ht="138" customHeight="1"/>
    <row r="1059" ht="98.39999999999999" customHeight="1"/>
    <row r="1060" ht="177.6" customHeight="1"/>
    <row r="1061" ht="151.2" customHeight="1"/>
    <row r="1062" ht="151.2" customHeight="1"/>
    <row r="1063" ht="230.4" customHeight="1"/>
    <row r="1064" ht="177.6" customHeight="1"/>
    <row r="1065" ht="45.59999999999999" customHeight="1"/>
    <row r="1066" ht="230.4" customHeight="1"/>
    <row r="1067" ht="138" customHeight="1"/>
    <row r="1068" ht="164.4" customHeight="1"/>
    <row r="1069" ht="151.2" customHeight="1"/>
    <row r="1070" ht="204" customHeight="1"/>
    <row r="1071" ht="124.8" customHeight="1"/>
    <row r="1072" ht="151.2" customHeight="1"/>
    <row r="1073" ht="177.6" customHeight="1"/>
    <row r="1074" ht="32.4" customHeight="1"/>
    <row r="1075" ht="98.39999999999999" customHeight="1"/>
    <row r="1076" ht="124.8" customHeight="1"/>
    <row r="1077" ht="85.19999999999999" customHeight="1"/>
    <row r="1078" ht="111.6" customHeight="1"/>
    <row r="1079" ht="111.6" customHeight="1"/>
    <row r="1080" ht="151.2" customHeight="1"/>
    <row r="1081" ht="164.4" customHeight="1"/>
    <row r="1082" ht="45.59999999999999" customHeight="1"/>
    <row r="1083" ht="111.6" customHeight="1"/>
    <row r="1084" ht="111.6" customHeight="1"/>
    <row r="1085" ht="98.39999999999999" customHeight="1"/>
    <row r="1086" ht="98.39999999999999" customHeight="1"/>
    <row r="1087" ht="58.8" customHeight="1"/>
    <row r="1088" ht="58.8" customHeight="1"/>
    <row r="1089" ht="85.19999999999999" customHeight="1"/>
    <row r="1090" ht="85.19999999999999" customHeight="1"/>
    <row r="1091" ht="85.19999999999999" customHeight="1"/>
    <row r="1092" ht="98.39999999999999" customHeight="1"/>
    <row r="1093" ht="85.19999999999999" customHeight="1"/>
    <row r="1094" ht="164.4" customHeight="1"/>
    <row r="1095" ht="85.19999999999999" customHeight="1"/>
    <row r="1096" ht="32.4" customHeight="1"/>
    <row r="1097" ht="98.39999999999999" customHeight="1"/>
    <row r="1098" ht="85.19999999999999" customHeight="1"/>
    <row r="1099" ht="98.39999999999999" customHeight="1"/>
    <row r="1100" ht="85.19999999999999" customHeight="1"/>
    <row r="1101" ht="111.6" customHeight="1"/>
    <row r="1102" ht="243.6" customHeight="1"/>
    <row r="1103" ht="58.8" customHeight="1"/>
    <row r="1104" ht="72" customHeight="1"/>
    <row r="1105" ht="32.4" customHeight="1"/>
    <row r="1106" ht="58.8" customHeight="1"/>
    <row r="1107" ht="32.4" customHeight="1"/>
    <row r="1108" ht="204" customHeight="1"/>
    <row r="1109" ht="138" customHeight="1"/>
    <row r="1110" ht="124.8" customHeight="1"/>
    <row r="1111" ht="45.59999999999999" customHeight="1"/>
    <row r="1112" ht="45.59999999999999" customHeight="1"/>
    <row r="1113" ht="124.8" customHeight="1"/>
    <row r="1114" ht="45.59999999999999" customHeight="1"/>
    <row r="1115" ht="85.19999999999999" customHeight="1"/>
    <row r="1116" ht="85.19999999999999" customHeight="1"/>
    <row r="1117" ht="85.19999999999999" customHeight="1"/>
    <row r="1118" ht="72" customHeight="1"/>
    <row r="1119" ht="45.59999999999999" customHeight="1"/>
    <row r="1120" ht="32.4" customHeight="1"/>
    <row r="1121" ht="111.6" customHeight="1"/>
    <row r="1122" ht="111.6" customHeight="1"/>
    <row r="1123" ht="111.6" customHeight="1"/>
    <row r="1124" ht="124.8" customHeight="1"/>
    <row r="1125" ht="45.59999999999999" customHeight="1"/>
    <row r="1126" ht="58.8" customHeight="1"/>
    <row r="1127" ht="151.2" customHeight="1"/>
    <row r="1128" ht="32.4" customHeight="1"/>
    <row r="1129" ht="164.4" customHeight="1"/>
    <row r="1130" ht="85.19999999999999" customHeight="1"/>
    <row r="1131" ht="204" customHeight="1"/>
    <row r="1132" ht="151.2" customHeight="1"/>
    <row r="1133" ht="124.8" customHeight="1"/>
    <row r="1134" ht="111.6" customHeight="1"/>
    <row r="1135" ht="98.39999999999999" customHeight="1"/>
    <row r="1136" ht="124.8" customHeight="1"/>
    <row r="1137" ht="151.2" customHeight="1"/>
    <row r="1138" ht="151.2" customHeight="1"/>
    <row r="1139" ht="164.4" customHeight="1"/>
    <row r="1140" ht="58.8" customHeight="1"/>
    <row r="1141" ht="138" customHeight="1"/>
    <row r="1142" ht="124.8" customHeight="1"/>
    <row r="1143" ht="45.59999999999999" customHeight="1"/>
    <row r="1144" ht="190.8" customHeight="1"/>
    <row r="1145" ht="72" customHeight="1"/>
    <row r="1146" ht="204" customHeight="1"/>
    <row r="1147" ht="85.19999999999999" customHeight="1"/>
    <row r="1148" ht="72" customHeight="1"/>
    <row r="1149" ht="45.59999999999999" customHeight="1"/>
    <row r="1150" ht="124.8" customHeight="1"/>
    <row r="1151" ht="217.2" customHeight="1"/>
    <row r="1152" ht="58.8" customHeight="1"/>
    <row r="1153" ht="98.39999999999999" customHeight="1"/>
    <row r="1154" ht="45.59999999999999" customHeight="1"/>
    <row r="1155" ht="72" customHeight="1"/>
    <row r="1156" ht="98.39999999999999" customHeight="1"/>
    <row r="1157" ht="32.4" customHeight="1"/>
    <row r="1158" ht="85.19999999999999" customHeight="1"/>
    <row r="1159" ht="72" customHeight="1"/>
    <row r="1160" ht="164.4" customHeight="1"/>
    <row r="1161" ht="45.59999999999999" customHeight="1"/>
    <row r="1162" ht="124.8" customHeight="1"/>
    <row r="1163" ht="45.59999999999999" customHeight="1"/>
    <row r="1164" ht="111.6" customHeight="1"/>
    <row r="1165" ht="58.8" customHeight="1"/>
    <row r="1166" ht="111.6" customHeight="1"/>
    <row r="1167" ht="32.4" customHeight="1"/>
    <row r="1168" ht="98.39999999999999" customHeight="1"/>
    <row r="1169" ht="72" customHeight="1"/>
    <row r="1170" ht="111.6" customHeight="1"/>
    <row r="1171" ht="45.59999999999999" customHeight="1"/>
    <row r="1172" ht="138" customHeight="1"/>
    <row r="1173" ht="98.39999999999999" customHeight="1"/>
    <row r="1174" ht="138" customHeight="1"/>
    <row r="1175" ht="111.6" customHeight="1"/>
    <row r="1176" ht="32.4" customHeight="1"/>
    <row r="1177" ht="164.4" customHeight="1"/>
    <row r="1178" ht="45.59999999999999" customHeight="1"/>
    <row r="1179" ht="98.39999999999999" customHeight="1"/>
    <row r="1180" ht="58.8" customHeight="1"/>
    <row r="1181" ht="58.8" customHeight="1"/>
    <row r="1182" ht="45.59999999999999" customHeight="1"/>
    <row r="1183" ht="151.2" customHeight="1"/>
    <row r="1184" ht="98.39999999999999" customHeight="1"/>
    <row r="1185" ht="45.59999999999999" customHeight="1"/>
    <row r="1186" ht="85.19999999999999" customHeight="1"/>
    <row r="1187" ht="58.8" customHeight="1"/>
    <row r="1188" ht="72" customHeight="1"/>
    <row r="1189" ht="45.59999999999999" customHeight="1"/>
    <row r="1190" ht="164.4" customHeight="1"/>
    <row r="1191" ht="177.6" customHeight="1"/>
    <row r="1192" ht="190.8" customHeight="1"/>
    <row r="1193" ht="138" customHeight="1"/>
    <row r="1194" ht="72" customHeight="1"/>
    <row r="1195" ht="32.4" customHeight="1"/>
    <row r="1196" ht="151.2" customHeight="1"/>
    <row r="1197" ht="124.8" customHeight="1"/>
    <row r="1198" ht="45.59999999999999" customHeight="1"/>
    <row r="1199" ht="45.59999999999999" customHeight="1"/>
    <row r="1200" ht="32.4" customHeight="1"/>
    <row r="1201" ht="124.8" customHeight="1"/>
    <row r="1202" ht="58.8" customHeight="1"/>
    <row r="1203" ht="45.59999999999999" customHeight="1"/>
    <row r="1204" ht="111.6" customHeight="1"/>
    <row r="1205" ht="124.8" customHeight="1"/>
    <row r="1206" ht="45.59999999999999" customHeight="1"/>
    <row r="1207" ht="85.19999999999999" customHeight="1"/>
    <row r="1208" ht="111.6" customHeight="1"/>
    <row r="1209" ht="124.8" customHeight="1"/>
    <row r="1210" ht="58.8" customHeight="1"/>
    <row r="1211" ht="45.59999999999999" customHeight="1"/>
    <row r="1212" ht="177.6" customHeight="1"/>
    <row r="1213" ht="45.59999999999999" customHeight="1"/>
    <row r="1214" ht="72" customHeight="1"/>
    <row r="1215" ht="190.8" customHeight="1"/>
    <row r="1216" ht="58.8" customHeight="1"/>
    <row r="1217" ht="45.59999999999999" customHeight="1"/>
    <row r="1218" ht="164.4" customHeight="1"/>
    <row r="1219" ht="151.2" customHeight="1"/>
    <row r="1220" ht="124.8" customHeight="1"/>
    <row r="1221" ht="138" customHeight="1"/>
    <row r="1222" ht="58.8" customHeight="1"/>
    <row r="1223" ht="32.4" customHeight="1"/>
    <row r="1224" ht="72" customHeight="1"/>
    <row r="1225" ht="32.4" customHeight="1"/>
    <row r="1226" ht="164.4" customHeight="1"/>
    <row r="1227" ht="45.59999999999999" customHeight="1"/>
    <row r="1228" ht="45.59999999999999" customHeight="1"/>
    <row r="1229" ht="58.8" customHeight="1"/>
    <row r="1230" ht="45.59999999999999" customHeight="1"/>
    <row r="1231" ht="45.59999999999999" customHeight="1"/>
    <row r="1232" ht="45.59999999999999" customHeight="1"/>
    <row r="1233" ht="45.59999999999999" customHeight="1"/>
    <row r="1234" ht="58.8" customHeight="1"/>
    <row r="1235" ht="32.4" customHeight="1"/>
    <row r="1236" ht="32.4" customHeight="1"/>
    <row r="1237" ht="32.4" customHeight="1"/>
    <row r="1238" ht="58.8" customHeight="1"/>
    <row r="1239" ht="45.59999999999999" customHeight="1"/>
    <row r="1240" ht="32.4" customHeight="1"/>
    <row r="1241" ht="32.4" customHeight="1"/>
    <row r="1242" ht="45.59999999999999" customHeight="1"/>
    <row r="1243" ht="45.59999999999999" customHeight="1"/>
    <row r="1244" ht="58.8" customHeight="1"/>
    <row r="1245" ht="32.4" customHeight="1"/>
    <row r="1246" ht="45.59999999999999" customHeight="1"/>
    <row r="1247" ht="58.8" customHeight="1"/>
    <row r="1248" ht="45.59999999999999" customHeight="1"/>
    <row r="1249" ht="32.4" customHeight="1"/>
    <row r="1250" ht="58.8" customHeight="1"/>
    <row r="1251" ht="72" customHeight="1"/>
    <row r="1252" ht="32.4" customHeight="1"/>
    <row r="1253" ht="32.4" customHeight="1"/>
    <row r="1254" ht="85.19999999999999" customHeight="1"/>
    <row r="1255" ht="58.8" customHeight="1"/>
    <row r="1256" ht="58.8" customHeight="1"/>
    <row r="1257" ht="85.19999999999999" customHeight="1"/>
    <row r="1258" ht="58.8" customHeight="1"/>
    <row r="1259" ht="45.59999999999999" customHeight="1"/>
    <row r="1260" ht="138" customHeight="1"/>
    <row r="1261" ht="45.59999999999999" customHeight="1"/>
    <row r="1262" ht="72" customHeight="1"/>
    <row r="1263" ht="98.39999999999999" customHeight="1"/>
    <row r="1264" ht="58.8" customHeight="1"/>
    <row r="1265" ht="58.8" customHeight="1"/>
    <row r="1266" ht="32.4" customHeight="1"/>
    <row r="1267" ht="164.4" customHeight="1"/>
    <row r="1268" ht="124.8" customHeight="1"/>
    <row r="1269" ht="32.4" customHeight="1"/>
    <row r="1270" ht="72" customHeight="1"/>
    <row r="1271" ht="151.2" customHeight="1"/>
    <row r="1272" ht="124.8" customHeight="1"/>
    <row r="1273" ht="85.19999999999999" customHeight="1"/>
    <row r="1274" ht="111.6" customHeight="1"/>
    <row r="1275" ht="45.59999999999999" customHeight="1"/>
    <row r="1276" ht="111.6" customHeight="1"/>
    <row r="1277" ht="98.39999999999999" customHeight="1"/>
    <row r="1278" ht="85.19999999999999" customHeight="1"/>
    <row r="1279" ht="111.6" customHeight="1"/>
    <row r="1280" ht="138" customHeight="1"/>
    <row r="1281" ht="190.8" customHeight="1"/>
    <row r="1282" ht="124.8" customHeight="1"/>
    <row r="1283" ht="111.6" customHeight="1"/>
    <row r="1284" ht="72" customHeight="1"/>
    <row r="1285" ht="32.4" customHeight="1"/>
    <row r="1286" ht="111.6" customHeight="1"/>
    <row r="1287" ht="72" customHeight="1"/>
    <row r="1288" ht="72" customHeight="1"/>
    <row r="1289" ht="45.59999999999999" customHeight="1"/>
    <row r="1290" ht="111.6" customHeight="1"/>
    <row r="1291" ht="45.59999999999999" customHeight="1"/>
    <row r="1292" ht="98.39999999999999" customHeight="1"/>
    <row r="1293" ht="72" customHeight="1"/>
    <row r="1294" ht="45.59999999999999" customHeight="1"/>
    <row r="1295" ht="164.4" customHeight="1"/>
    <row r="1296" ht="204" customHeight="1"/>
    <row r="1297" ht="151.2" customHeight="1"/>
    <row r="1298" ht="45.59999999999999" customHeight="1"/>
    <row r="1299" ht="124.8" customHeight="1"/>
    <row r="1300" ht="164.4" customHeight="1"/>
    <row r="1301" ht="45.59999999999999" customHeight="1"/>
    <row r="1302" ht="32.4" customHeight="1"/>
    <row r="1303" ht="124.8" customHeight="1"/>
    <row r="1304" ht="190.8" customHeight="1"/>
    <row r="1305" ht="45.59999999999999" customHeight="1"/>
    <row r="1306" ht="98.39999999999999" customHeight="1"/>
    <row r="1307" ht="151.2" customHeight="1"/>
    <row r="1308" ht="98.39999999999999" customHeight="1"/>
    <row r="1309" ht="138" customHeight="1"/>
    <row r="1310" ht="138" customHeight="1"/>
    <row r="1311" ht="177.6" customHeight="1"/>
    <row r="1312" ht="138" customHeight="1"/>
    <row r="1313" ht="45.59999999999999" customHeight="1"/>
    <row r="1314" ht="58.8" customHeight="1"/>
    <row r="1315" ht="164.4" customHeight="1"/>
    <row r="1316" ht="58.8" customHeight="1"/>
    <row r="1317" ht="45.59999999999999" customHeight="1"/>
    <row r="1318" ht="177.6" customHeight="1"/>
    <row r="1319" ht="124.8" customHeight="1"/>
    <row r="1320" ht="98.39999999999999" customHeight="1"/>
    <row r="1321" ht="45.59999999999999" customHeight="1"/>
    <row r="1322" ht="164.4" customHeight="1"/>
    <row r="1323" ht="111.6" customHeight="1"/>
    <row r="1324" ht="32.4" customHeight="1"/>
    <row r="1325" ht="45.59999999999999" customHeight="1"/>
    <row r="1326" ht="111.6" customHeight="1"/>
    <row r="1327" ht="138" customHeight="1"/>
    <row r="1328" ht="98.39999999999999" customHeight="1"/>
    <row r="1329" ht="58.8" customHeight="1"/>
    <row r="1330" ht="164.4" customHeight="1"/>
    <row r="1331" ht="177.6" customHeight="1"/>
    <row r="1332" ht="45.59999999999999" customHeight="1"/>
    <row r="1333" ht="85.19999999999999" customHeight="1"/>
    <row r="1334" ht="124.8" customHeight="1"/>
    <row r="1335" ht="98.39999999999999" customHeight="1"/>
    <row r="1336" ht="164.4" customHeight="1"/>
    <row r="1337" ht="32.4" customHeight="1"/>
    <row r="1338" ht="58.8" customHeight="1"/>
    <row r="1339" ht="72" customHeight="1"/>
    <row r="1340" ht="32.4" customHeight="1"/>
    <row r="1341" ht="111.6" customHeight="1"/>
    <row r="1342" ht="72" customHeight="1"/>
    <row r="1343" ht="45.59999999999999" customHeight="1"/>
    <row r="1344" ht="45.59999999999999" customHeight="1"/>
    <row r="1345" ht="85.19999999999999" customHeight="1"/>
    <row r="1346" ht="164.4" customHeight="1"/>
    <row r="1347" ht="72" customHeight="1"/>
    <row r="1348" ht="32.4" customHeight="1"/>
    <row r="1349" ht="85.19999999999999" customHeight="1"/>
    <row r="1350" ht="151.2" customHeight="1"/>
    <row r="1351" ht="164.4" customHeight="1"/>
    <row r="1352" ht="124.8" customHeight="1"/>
    <row r="1353" ht="98.39999999999999" customHeight="1"/>
    <row r="1354" ht="111.6" customHeight="1"/>
    <row r="1355" ht="32.4" customHeight="1"/>
    <row r="1356" ht="177.6" customHeight="1"/>
    <row r="1357" ht="85.19999999999999" customHeight="1"/>
    <row r="1358" ht="124.8" customHeight="1"/>
    <row r="1359" ht="151.2" customHeight="1"/>
    <row r="1360" ht="98.39999999999999" customHeight="1"/>
    <row r="1361" ht="217.2" customHeight="1"/>
    <row r="1362" ht="190.8" customHeight="1"/>
    <row r="1363" ht="124.8" customHeight="1"/>
    <row r="1364" ht="111.6" customHeight="1"/>
    <row r="1365" ht="124.8" customHeight="1"/>
    <row r="1366" ht="151.2" customHeight="1"/>
    <row r="1367" ht="111.6" customHeight="1"/>
    <row r="1368" ht="190.8" customHeight="1"/>
    <row r="1369" ht="256.8" customHeight="1"/>
    <row r="1370" ht="58.8" customHeight="1"/>
    <row r="1371" ht="164.4" customHeight="1"/>
    <row r="1372" ht="85.19999999999999" customHeight="1"/>
    <row r="1373" ht="85.19999999999999" customHeight="1"/>
    <row r="1374" ht="98.39999999999999" customHeight="1"/>
    <row r="1375" ht="45.59999999999999" customHeight="1"/>
    <row r="1376" ht="409" customHeight="1"/>
    <row r="1377" ht="98.39999999999999" customHeight="1"/>
    <row r="1378" ht="98.39999999999999" customHeight="1"/>
    <row r="1379" ht="45.59999999999999" customHeight="1"/>
    <row r="1380" ht="177.6" customHeight="1"/>
    <row r="1381" ht="111.6" customHeight="1"/>
    <row r="1382" ht="111.6" customHeight="1"/>
    <row r="1383" ht="151.2" customHeight="1"/>
    <row r="1384" ht="85.19999999999999" customHeight="1"/>
    <row r="1385" ht="45.59999999999999" customHeight="1"/>
    <row r="1386" ht="58.8" customHeight="1"/>
    <row r="1387" ht="72" customHeight="1"/>
    <row r="1388" ht="45.59999999999999" customHeight="1"/>
    <row r="1389" ht="151.2" customHeight="1"/>
    <row r="1390" ht="190.8" customHeight="1"/>
    <row r="1391" ht="32.4" customHeight="1"/>
    <row r="1392" ht="98.39999999999999" customHeight="1"/>
    <row r="1393" ht="58.8" customHeight="1"/>
    <row r="1394" ht="85.19999999999999" customHeight="1"/>
    <row r="1395" ht="98.39999999999999" customHeight="1"/>
    <row r="1396" ht="98.39999999999999" customHeight="1"/>
    <row r="1397" ht="124.8" customHeight="1"/>
    <row r="1398" ht="45.59999999999999" customHeight="1"/>
    <row r="1399" ht="177.6" customHeight="1"/>
    <row r="1400" ht="32.4" customHeight="1"/>
    <row r="1401" ht="190.8" customHeight="1"/>
    <row r="1402" ht="151.2" customHeight="1"/>
    <row r="1403" ht="72" customHeight="1"/>
    <row r="1404" ht="58.8" customHeight="1"/>
    <row r="1405" ht="98.39999999999999" customHeight="1"/>
    <row r="1406" ht="45.59999999999999" customHeight="1"/>
    <row r="1407" ht="85.19999999999999" customHeight="1"/>
    <row r="1408" ht="85.19999999999999" customHeight="1"/>
    <row r="1409" ht="32.4" customHeight="1"/>
    <row r="1410" ht="124.8" customHeight="1"/>
    <row r="1411" ht="151.2" customHeight="1"/>
    <row r="1412" ht="32.4" customHeight="1"/>
    <row r="1413" ht="72" customHeight="1"/>
    <row r="1414" ht="72" customHeight="1"/>
    <row r="1415" ht="32.4" customHeight="1"/>
    <row r="1416" ht="32.4" customHeight="1"/>
    <row r="1417" ht="45.59999999999999" customHeight="1"/>
    <row r="1418" ht="111.6" customHeight="1"/>
    <row r="1419" ht="111.6" customHeight="1"/>
    <row r="1420" ht="32.4" customHeight="1"/>
    <row r="1421" ht="32.4" customHeight="1"/>
    <row r="1422" ht="32.4" customHeight="1"/>
    <row r="1423" ht="243.6" customHeight="1"/>
    <row r="1424" ht="98.39999999999999" customHeight="1"/>
    <row r="1425" ht="32.4" customHeight="1"/>
    <row r="1426" ht="32.4" customHeight="1"/>
    <row r="1427" ht="177.6" customHeight="1"/>
    <row r="1428" ht="32.4" customHeight="1"/>
    <row r="1429" ht="151.2" customHeight="1"/>
    <row r="1430" ht="45.59999999999999" customHeight="1"/>
    <row r="1431" ht="111.6" customHeight="1"/>
    <row r="1432" ht="32.4" customHeight="1"/>
    <row r="1433" ht="151.2" customHeight="1"/>
    <row r="1434" ht="138" customHeight="1"/>
    <row r="1435" ht="138" customHeight="1"/>
    <row r="1436" ht="58.8" customHeight="1"/>
    <row r="1437" ht="98.39999999999999" customHeight="1"/>
    <row r="1438" ht="98.39999999999999" customHeight="1"/>
    <row r="1439" ht="204" customHeight="1"/>
    <row r="1440" ht="45.59999999999999" customHeight="1"/>
    <row r="1441" ht="32.4" customHeight="1"/>
    <row r="1442" ht="85.19999999999999" customHeight="1"/>
    <row r="1443" ht="45.59999999999999" customHeight="1"/>
    <row r="1444" ht="138" customHeight="1"/>
    <row r="1445" ht="72" customHeight="1"/>
    <row r="1446" ht="138" customHeight="1"/>
    <row r="1447" ht="45.59999999999999" customHeight="1"/>
    <row r="1448" ht="58.8" customHeight="1"/>
    <row r="1449" ht="85.19999999999999" customHeight="1"/>
    <row r="1450" ht="32.4" customHeight="1"/>
    <row r="1451" ht="111.6" customHeight="1"/>
    <row r="1452" ht="111.6" customHeight="1"/>
    <row r="1453" ht="72" customHeight="1"/>
    <row r="1454" ht="45.59999999999999" customHeight="1"/>
    <row r="1455" ht="58.8" customHeight="1"/>
    <row r="1456" ht="32.4" customHeight="1"/>
    <row r="1457" ht="98.39999999999999" customHeight="1"/>
    <row r="1458" ht="85.19999999999999" customHeight="1"/>
    <row r="1459" ht="111.6" customHeight="1"/>
    <row r="1460" ht="58.8" customHeight="1"/>
    <row r="1461" ht="58.8" customHeight="1"/>
    <row r="1462" ht="32.4" customHeight="1"/>
    <row r="1463" ht="58.8" customHeight="1"/>
    <row r="1464" ht="72" customHeight="1"/>
    <row r="1465" ht="164.4" customHeight="1"/>
    <row r="1466" ht="98.39999999999999" customHeight="1"/>
    <row r="1467" ht="124.8" customHeight="1"/>
    <row r="1468" ht="124.8" customHeight="1"/>
    <row r="1469" ht="85.19999999999999" customHeight="1"/>
    <row r="1470" ht="32.4" customHeight="1"/>
    <row r="1471" ht="164.4" customHeight="1"/>
    <row r="1472" ht="98.39999999999999" customHeight="1"/>
    <row r="1473" ht="151.2" customHeight="1"/>
    <row r="1474" ht="32.4" customHeight="1"/>
    <row r="1475" ht="98.39999999999999" customHeight="1"/>
    <row r="1476" ht="151.2" customHeight="1"/>
    <row r="1477" ht="190.8" customHeight="1"/>
    <row r="1478" ht="45.59999999999999" customHeight="1"/>
    <row r="1479" ht="85.19999999999999" customHeight="1"/>
    <row r="1480" ht="45.59999999999999" customHeight="1"/>
    <row r="1481" ht="45.59999999999999" customHeight="1"/>
    <row r="1482" ht="45.59999999999999" customHeight="1"/>
    <row r="1483" ht="32.4" customHeight="1"/>
    <row r="1484" ht="72" customHeight="1"/>
    <row r="1485" ht="111.6" customHeight="1"/>
    <row r="1486" ht="45.59999999999999" customHeight="1"/>
    <row r="1487" ht="98.39999999999999" customHeight="1"/>
    <row r="1488" ht="85.19999999999999" customHeight="1"/>
    <row r="1489" ht="98.39999999999999" customHeight="1"/>
    <row r="1490" ht="111.6" customHeight="1"/>
    <row r="1491" ht="151.2" customHeight="1"/>
    <row r="1492" ht="111.6" customHeight="1"/>
    <row r="1493" ht="58.8" customHeight="1"/>
    <row r="1494" ht="111.6" customHeight="1"/>
    <row r="1495" ht="58.8" customHeight="1"/>
    <row r="1496" ht="124.8" customHeight="1"/>
    <row r="1497" ht="58.8" customHeight="1"/>
    <row r="1498" ht="85.19999999999999" customHeight="1"/>
    <row r="1499" ht="98.39999999999999" customHeight="1"/>
    <row r="1500" ht="58.8" customHeight="1"/>
    <row r="1501" ht="138" customHeight="1"/>
    <row r="1502" ht="111.6" customHeight="1"/>
    <row r="1503" ht="124.8" customHeight="1"/>
    <row r="1504" ht="177.6" customHeight="1"/>
    <row r="1505" ht="217.2" customHeight="1"/>
    <row r="1506" ht="177.6" customHeight="1"/>
    <row r="1507" ht="164.4" customHeight="1"/>
    <row r="1508" ht="151.2" customHeight="1"/>
    <row r="1509" ht="151.2" customHeight="1"/>
    <row r="1510" ht="190.8" customHeight="1"/>
    <row r="1511" ht="32.4" customHeight="1"/>
    <row r="1512" ht="177.6" customHeight="1"/>
    <row r="1513" ht="85.19999999999999" customHeight="1"/>
    <row r="1514" ht="45.59999999999999" customHeight="1"/>
    <row r="1515" ht="85.19999999999999" customHeight="1"/>
    <row r="1516" ht="58.8" customHeight="1"/>
    <row r="1517" ht="72" customHeight="1"/>
    <row r="1518" ht="45.59999999999999" customHeight="1"/>
    <row r="1519" ht="72" customHeight="1"/>
    <row r="1520" ht="72" customHeight="1"/>
    <row r="1521" ht="85.19999999999999" customHeight="1"/>
    <row r="1522" ht="138" customHeight="1"/>
    <row r="1523" ht="85.19999999999999" customHeight="1"/>
    <row r="1524" ht="111.6" customHeight="1"/>
    <row r="1525" ht="85.19999999999999" customHeight="1"/>
    <row r="1526" ht="45.59999999999999" customHeight="1"/>
    <row r="1527" ht="72" customHeight="1"/>
    <row r="1528" ht="32.4" customHeight="1"/>
    <row r="1529" ht="111.6" customHeight="1"/>
    <row r="1530" ht="58.8" customHeight="1"/>
    <row r="1531" ht="98.39999999999999" customHeight="1"/>
    <row r="1532" ht="138" customHeight="1"/>
    <row r="1533" ht="32.4" customHeight="1"/>
    <row r="1534" ht="111.6" customHeight="1"/>
    <row r="1535" ht="85.19999999999999" customHeight="1"/>
    <row r="1536" ht="85.19999999999999" customHeight="1"/>
    <row r="1537" ht="58.8" customHeight="1"/>
    <row r="1538" ht="138" customHeight="1"/>
    <row r="1539" ht="72" customHeight="1"/>
    <row r="1540" ht="98.39999999999999" customHeight="1"/>
    <row r="1541" ht="124.8" customHeight="1"/>
    <row r="1542" ht="58.8" customHeight="1"/>
    <row r="1543" ht="32.4" customHeight="1"/>
    <row r="1544" ht="98.39999999999999" customHeight="1"/>
    <row r="1545" ht="151.2" customHeight="1"/>
    <row r="1546" ht="45.59999999999999" customHeight="1"/>
    <row r="1547" ht="138" customHeight="1"/>
    <row r="1548" ht="72" customHeight="1"/>
    <row r="1549" ht="72" customHeight="1"/>
    <row r="1550" ht="164.4" customHeight="1"/>
    <row r="1551" ht="124.8" customHeight="1"/>
    <row r="1552" ht="98.39999999999999" customHeight="1"/>
    <row r="1553" ht="58.8" customHeight="1"/>
    <row r="1554" ht="72" customHeight="1"/>
    <row r="1555" ht="32.4" customHeight="1"/>
    <row r="1556" ht="151.2" customHeight="1"/>
    <row r="1557" ht="98.39999999999999" customHeight="1"/>
    <row r="1558" ht="98.39999999999999" customHeight="1"/>
    <row r="1559" ht="32.4" customHeight="1"/>
    <row r="1560" ht="124.8" customHeight="1"/>
    <row r="1561" ht="85.19999999999999" customHeight="1"/>
    <row r="1562" ht="164.4" customHeight="1"/>
    <row r="1563" ht="138" customHeight="1"/>
    <row r="1564" ht="111.6" customHeight="1"/>
    <row r="1565" ht="98.39999999999999" customHeight="1"/>
    <row r="1566" ht="32.4" customHeight="1"/>
    <row r="1567" ht="45.59999999999999" customHeight="1"/>
    <row r="1568" ht="177.6" customHeight="1"/>
    <row r="1569" ht="85.19999999999999" customHeight="1"/>
    <row r="1570" ht="98.39999999999999" customHeight="1"/>
    <row r="1571" ht="32.4" customHeight="1"/>
    <row r="1572" ht="45.59999999999999" customHeight="1"/>
    <row r="1573" ht="138" customHeight="1"/>
    <row r="1574" ht="98.39999999999999" customHeight="1"/>
    <row r="1575" ht="45.59999999999999" customHeight="1"/>
    <row r="1576" ht="151.2" customHeight="1"/>
    <row r="1577" ht="45.59999999999999" customHeight="1"/>
    <row r="1578" ht="164.4" customHeight="1"/>
    <row r="1579" ht="138" customHeight="1"/>
    <row r="1580" ht="45.59999999999999" customHeight="1"/>
    <row r="1581" ht="45.59999999999999" customHeight="1"/>
    <row r="1582" ht="58.8" customHeight="1"/>
    <row r="1583" ht="32.4" customHeight="1"/>
    <row r="1584" ht="58.8" customHeight="1"/>
    <row r="1585" ht="98.39999999999999" customHeight="1"/>
    <row r="1586" ht="58.8" customHeight="1"/>
    <row r="1587" ht="32.4" customHeight="1"/>
    <row r="1588" ht="124.8" customHeight="1"/>
    <row r="1589" ht="72" customHeight="1"/>
    <row r="1590" ht="45.59999999999999" customHeight="1"/>
    <row r="1591" ht="45.59999999999999" customHeight="1"/>
    <row r="1592" ht="45.59999999999999" customHeight="1"/>
    <row r="1593" ht="151.2" customHeight="1"/>
    <row r="1594" ht="58.8" customHeight="1"/>
    <row r="1595" ht="32.4" customHeight="1"/>
    <row r="1596" ht="124.8" customHeight="1"/>
    <row r="1597" ht="85.19999999999999" customHeight="1"/>
    <row r="1598" ht="124.8" customHeight="1"/>
    <row r="1599" ht="72" customHeight="1"/>
    <row r="1600" ht="58.8" customHeight="1"/>
    <row r="1601" ht="45.59999999999999" customHeight="1"/>
    <row r="1602" ht="45.59999999999999" customHeight="1"/>
    <row r="1603" ht="111.6" customHeight="1"/>
    <row r="1604" ht="45.59999999999999" customHeight="1"/>
    <row r="1605" ht="45.59999999999999" customHeight="1"/>
    <row r="1606" ht="58.8" customHeight="1"/>
    <row r="1607" ht="45.59999999999999" customHeight="1"/>
    <row r="1608" ht="45.59999999999999" customHeight="1"/>
    <row r="1609" ht="45.59999999999999" customHeight="1"/>
    <row r="1610" ht="85.19999999999999" customHeight="1"/>
    <row r="1611" ht="85.19999999999999" customHeight="1"/>
    <row r="1612" ht="45.59999999999999" customHeight="1"/>
    <row r="1613" ht="45.59999999999999" customHeight="1"/>
    <row r="1614" ht="58.8" customHeight="1"/>
    <row r="1615" ht="190.8" customHeight="1"/>
    <row r="1616" ht="32.4" customHeight="1"/>
    <row r="1617" ht="72" customHeight="1"/>
    <row r="1618" ht="111.6" customHeight="1"/>
    <row r="1619" ht="177.6" customHeight="1"/>
    <row r="1620" ht="138" customHeight="1"/>
    <row r="1621" ht="164.4" customHeight="1"/>
    <row r="1622" ht="151.2" customHeight="1"/>
    <row r="1623" ht="98.39999999999999" customHeight="1"/>
    <row r="1624" ht="177.6" customHeight="1"/>
    <row r="1625" ht="85.19999999999999" customHeight="1"/>
    <row r="1626" ht="85.19999999999999" customHeight="1"/>
    <row r="1627" ht="32.4" customHeight="1"/>
    <row r="1628" ht="58.8" customHeight="1"/>
    <row r="1629" ht="58.8" customHeight="1"/>
    <row r="1630" ht="72" customHeight="1"/>
    <row r="1631" ht="164.4" customHeight="1"/>
    <row r="1632" ht="32.4" customHeight="1"/>
    <row r="1633" ht="151.2" customHeight="1"/>
    <row r="1634" ht="58.8" customHeight="1"/>
    <row r="1635" ht="98.39999999999999" customHeight="1"/>
    <row r="1636" ht="32.4" customHeight="1"/>
    <row r="1637" ht="98.39999999999999" customHeight="1"/>
    <row r="1638" ht="32.4" customHeight="1"/>
    <row r="1639" ht="164.4" customHeight="1"/>
    <row r="1640" ht="98.39999999999999" customHeight="1"/>
    <row r="1641" ht="72" customHeight="1"/>
    <row r="1642" ht="58.8" customHeight="1"/>
    <row r="1643" ht="45.59999999999999" customHeight="1"/>
    <row r="1644" ht="45.59999999999999" customHeight="1"/>
    <row r="1645" ht="111.6" customHeight="1"/>
    <row r="1646" ht="111.6" customHeight="1"/>
    <row r="1647" ht="151.2" customHeight="1"/>
    <row r="1648" ht="230.4" customHeight="1"/>
    <row r="1649" ht="45.59999999999999" customHeight="1"/>
    <row r="1650" ht="243.6" customHeight="1"/>
    <row r="1651" ht="58.8" customHeight="1"/>
    <row r="1652" ht="58.8" customHeight="1"/>
    <row r="1653" ht="58.8" customHeight="1"/>
    <row r="1654" ht="58.8" customHeight="1"/>
    <row r="1655" ht="58.8" customHeight="1"/>
    <row r="1656" ht="58.8" customHeight="1"/>
    <row r="1657" ht="204" customHeight="1"/>
    <row r="1658" ht="58.8" customHeight="1"/>
    <row r="1659" ht="85.19999999999999" customHeight="1"/>
    <row r="1660" ht="58.8" customHeight="1"/>
    <row r="1661" ht="45.59999999999999" customHeight="1"/>
    <row r="1662" ht="58.8" customHeight="1"/>
    <row r="1663" ht="85.19999999999999" customHeight="1"/>
    <row r="1664" ht="217.2" customHeight="1"/>
    <row r="1665" ht="58.8" customHeight="1"/>
    <row r="1666" ht="58.8" customHeight="1"/>
    <row r="1667" ht="58.8" customHeight="1"/>
    <row r="1668" ht="58.8" customHeight="1"/>
    <row r="1669" ht="58.8" customHeight="1"/>
    <row r="1670" ht="111.6" customHeight="1"/>
    <row r="1671" ht="72" customHeight="1"/>
    <row r="1672" ht="72" customHeight="1"/>
    <row r="1673" ht="98.39999999999999" customHeight="1"/>
    <row r="1674" ht="138" customHeight="1"/>
    <row r="1675" ht="111.6" customHeight="1"/>
    <row r="1676" ht="72" customHeight="1"/>
    <row r="1677" ht="32.4" customHeight="1"/>
    <row r="1678" ht="32.4" customHeight="1"/>
    <row r="1679" ht="45.59999999999999" customHeight="1"/>
    <row r="1680" ht="58.8" customHeight="1"/>
    <row r="1681" ht="45.59999999999999" customHeight="1"/>
    <row r="1682" ht="32.4" customHeight="1"/>
    <row r="1683" ht="151.2" customHeight="1"/>
    <row r="1684" ht="204" customHeight="1"/>
    <row r="1685" ht="138" customHeight="1"/>
    <row r="1686" ht="190.8" customHeight="1"/>
    <row r="1687" ht="45.59999999999999" customHeight="1"/>
    <row r="1688" ht="32.4" customHeight="1"/>
    <row r="1689" ht="32.4" customHeight="1"/>
    <row r="1690" ht="32.4" customHeight="1"/>
    <row r="1691" ht="45.59999999999999" customHeight="1"/>
    <row r="1692" ht="98.39999999999999" customHeight="1"/>
    <row r="1693" ht="85.19999999999999" customHeight="1"/>
    <row r="1694" ht="72" customHeight="1"/>
    <row r="1695" ht="217.2" customHeight="1"/>
    <row r="1696" ht="217.2" customHeight="1"/>
    <row r="1697" ht="138" customHeight="1"/>
    <row r="1698" ht="111.6" customHeight="1"/>
    <row r="1699" ht="32.4" customHeight="1"/>
    <row r="1700" ht="85.19999999999999" customHeight="1"/>
    <row r="1701" ht="138" customHeight="1"/>
    <row r="1702" ht="85.19999999999999" customHeight="1"/>
    <row r="1703" ht="98.39999999999999" customHeight="1"/>
    <row r="1704" ht="151.2" customHeight="1"/>
    <row r="1705" ht="45.59999999999999" customHeight="1"/>
    <row r="1706" ht="72" customHeight="1"/>
    <row r="1707" ht="58.8" customHeight="1"/>
    <row r="1708" ht="58.8" customHeight="1"/>
    <row r="1709" ht="230.4" customHeight="1"/>
    <row r="1710" ht="58.8" customHeight="1"/>
    <row r="1711" ht="85.19999999999999" customHeight="1"/>
    <row r="1712" ht="151.2" customHeight="1"/>
    <row r="1713" ht="32.4" customHeight="1"/>
    <row r="1714" ht="243.6" customHeight="1"/>
    <row r="1715" ht="217.2" customHeight="1"/>
    <row r="1716" ht="58.8" customHeight="1"/>
    <row r="1717" ht="85.19999999999999" customHeight="1"/>
    <row r="1718" ht="58.8" customHeight="1"/>
    <row r="1719" ht="45.59999999999999" customHeight="1"/>
    <row r="1720" ht="111.6" customHeight="1"/>
    <row r="1721" ht="243.6" customHeight="1"/>
    <row r="1722" ht="45.59999999999999" customHeight="1"/>
    <row r="1723" ht="72" customHeight="1"/>
    <row r="1724" ht="138" customHeight="1"/>
    <row r="1725" ht="98.39999999999999" customHeight="1"/>
    <row r="1726" ht="85.19999999999999" customHeight="1"/>
    <row r="1727" ht="58.8" customHeight="1"/>
    <row r="1728" ht="85.19999999999999" customHeight="1"/>
    <row r="1729" ht="72" customHeight="1"/>
    <row r="1730" ht="85.19999999999999" customHeight="1"/>
    <row r="1731" ht="72" customHeight="1"/>
    <row r="1732" ht="72" customHeight="1"/>
    <row r="1733" ht="98.39999999999999" customHeight="1"/>
    <row r="1734" ht="45.59999999999999" customHeight="1"/>
    <row r="1735" ht="45.59999999999999" customHeight="1"/>
    <row r="1736" ht="111.6" customHeight="1"/>
    <row r="1737" ht="85.19999999999999" customHeight="1"/>
    <row r="1738" ht="58.8" customHeight="1"/>
    <row r="1739" ht="72" customHeight="1"/>
    <row r="1740" ht="98.39999999999999" customHeight="1"/>
    <row r="1741" ht="98.39999999999999" customHeight="1"/>
    <row r="1742" ht="164.4" customHeight="1"/>
    <row r="1743" ht="138" customHeight="1"/>
    <row r="1744" ht="45.59999999999999" customHeight="1"/>
    <row r="1745" ht="45.59999999999999" customHeight="1"/>
    <row r="1746" ht="45.59999999999999" customHeight="1"/>
    <row r="1747" ht="98.39999999999999" customHeight="1"/>
    <row r="1748" ht="111.6" customHeight="1"/>
    <row r="1749" ht="58.8" customHeight="1"/>
    <row r="1750" ht="58.8" customHeight="1"/>
    <row r="1751" ht="45.59999999999999" customHeight="1"/>
    <row r="1752" ht="58.8" customHeight="1"/>
    <row r="1753" ht="85.19999999999999" customHeight="1"/>
    <row r="1754" ht="85.19999999999999" customHeight="1"/>
    <row r="1755" ht="177.6" customHeight="1"/>
    <row r="1756" ht="58.8" customHeight="1"/>
    <row r="1757" ht="85.19999999999999" customHeight="1"/>
    <row r="1758" ht="124.8" customHeight="1"/>
    <row r="1759" ht="111.6" customHeight="1"/>
    <row r="1760" ht="58.8" customHeight="1"/>
    <row r="1761" ht="45.59999999999999" customHeight="1"/>
    <row r="1762" ht="85.19999999999999" customHeight="1"/>
    <row r="1763" ht="98.39999999999999" customHeight="1"/>
    <row r="1764" ht="177.6" customHeight="1"/>
    <row r="1765" ht="138" customHeight="1"/>
    <row r="1766" ht="177.6" customHeight="1"/>
    <row r="1767" ht="151.2" customHeight="1"/>
    <row r="1768" ht="98.39999999999999" customHeight="1"/>
    <row r="1769" ht="45.59999999999999" customHeight="1"/>
    <row r="1770" ht="164.4" customHeight="1"/>
    <row r="1771" ht="151.2" customHeight="1"/>
    <row r="1772" ht="32.4" customHeight="1"/>
    <row r="1773" ht="164.4" customHeight="1"/>
    <row r="1774" ht="98.39999999999999" customHeight="1"/>
    <row r="1775" ht="190.8" customHeight="1"/>
    <row r="1776" ht="85.19999999999999" customHeight="1"/>
    <row r="1777" ht="32.4" customHeight="1"/>
    <row r="1778" ht="85.19999999999999" customHeight="1"/>
    <row r="1779" ht="98.39999999999999" customHeight="1"/>
    <row r="1780" ht="204" customHeight="1"/>
    <row r="1781" ht="111.6" customHeight="1"/>
    <row r="1782" ht="32.4" customHeight="1"/>
    <row r="1783" ht="138" customHeight="1"/>
    <row r="1784" ht="111.6" customHeight="1"/>
    <row r="1785" ht="58.8" customHeight="1"/>
    <row r="1786" ht="177.6" customHeight="1"/>
    <row r="1787" ht="151.2" customHeight="1"/>
    <row r="1788" ht="85.19999999999999" customHeight="1"/>
    <row r="1789" ht="124.8" customHeight="1"/>
    <row r="1790" ht="124.8" customHeight="1"/>
    <row r="1791" ht="98.39999999999999" customHeight="1"/>
    <row r="1792" ht="164.4" customHeight="1"/>
    <row r="1793" ht="217.2" customHeight="1"/>
    <row r="1794" ht="111.6" customHeight="1"/>
    <row r="1795" ht="138" customHeight="1"/>
    <row r="1796" ht="230.4" customHeight="1"/>
    <row r="1797" ht="138" customHeight="1"/>
    <row r="1798" ht="45.59999999999999" customHeight="1"/>
    <row r="1799" ht="151.2" customHeight="1"/>
    <row r="1800" ht="98.39999999999999" customHeight="1"/>
    <row r="1801" ht="58.8" customHeight="1"/>
    <row r="1802" ht="32.4" customHeight="1"/>
    <row r="1803" ht="111.6" customHeight="1"/>
    <row r="1804" ht="45.59999999999999" customHeight="1"/>
    <row r="1805" ht="138" customHeight="1"/>
    <row r="1806" ht="111.6" customHeight="1"/>
    <row r="1807" ht="124.8" customHeight="1"/>
    <row r="1808" ht="111.6" customHeight="1"/>
    <row r="1809" ht="217.2" customHeight="1"/>
    <row r="1810" ht="85.19999999999999" customHeight="1"/>
    <row r="1811" ht="32.4" customHeight="1"/>
    <row r="1812" ht="151.2" customHeight="1"/>
    <row r="1813" ht="32.4" customHeight="1"/>
    <row r="1814" ht="124.8" customHeight="1"/>
    <row r="1815" ht="72" customHeight="1"/>
    <row r="1816" ht="124.8" customHeight="1"/>
    <row r="1817" ht="111.6" customHeight="1"/>
    <row r="1818" ht="32.4" customHeight="1"/>
    <row r="1819" ht="124.8" customHeight="1"/>
    <row r="1820" ht="151.2" customHeight="1"/>
    <row r="1821" ht="151.2" customHeight="1"/>
    <row r="1822" ht="32.4" customHeight="1"/>
    <row r="1823" ht="204" customHeight="1"/>
    <row r="1824" ht="32.4" customHeight="1"/>
    <row r="1825" ht="45.59999999999999" customHeight="1"/>
    <row r="1826" ht="32.4" customHeight="1"/>
    <row r="1827" ht="32.4" customHeight="1"/>
    <row r="1828" ht="32.4" customHeight="1"/>
    <row r="1829" ht="32.4" customHeight="1"/>
    <row r="1830" ht="177.6" customHeight="1"/>
    <row r="1831" ht="138" customHeight="1"/>
    <row r="1832" ht="151.2" customHeight="1"/>
    <row r="1833" ht="98.39999999999999" customHeight="1"/>
    <row r="1834" ht="124.8" customHeight="1"/>
    <row r="1835" ht="58.8" customHeight="1"/>
    <row r="1836" ht="217.2" customHeight="1"/>
    <row r="1837" ht="124.8" customHeight="1"/>
    <row r="1838" ht="72" customHeight="1"/>
    <row r="1839" ht="111.6" customHeight="1"/>
    <row r="1840" ht="177.6" customHeight="1"/>
    <row r="1841" ht="85.19999999999999" customHeight="1"/>
    <row r="1842" ht="58.8" customHeight="1"/>
    <row r="1843" ht="177.6" customHeight="1"/>
    <row r="1844" ht="124.8" customHeight="1"/>
    <row r="1845" ht="32.4" customHeight="1"/>
    <row r="1846" ht="45.59999999999999" customHeight="1"/>
    <row r="1847" ht="45.59999999999999" customHeight="1"/>
    <row r="1848" ht="32.4" customHeight="1"/>
    <row r="1849" ht="177.6" customHeight="1"/>
    <row r="1850" ht="124.8" customHeight="1"/>
    <row r="1851" ht="138" customHeight="1"/>
    <row r="1852" ht="151.2" customHeight="1"/>
    <row r="1853" ht="124.8" customHeight="1"/>
    <row r="1854" ht="111.6" customHeight="1"/>
    <row r="1855" ht="32.4" customHeight="1"/>
    <row r="1856" ht="45.59999999999999" customHeight="1"/>
    <row r="1857" ht="124.8" customHeight="1"/>
    <row r="1858" ht="45.59999999999999" customHeight="1"/>
    <row r="1859" ht="45.59999999999999" customHeight="1"/>
    <row r="1860" ht="177.6" customHeight="1"/>
    <row r="1861" ht="32.4" customHeight="1"/>
    <row r="1862" ht="72" customHeight="1"/>
    <row r="1863" ht="72" customHeight="1"/>
    <row r="1864" ht="98.39999999999999" customHeight="1"/>
    <row r="1865" ht="98.39999999999999" customHeight="1"/>
    <row r="1866" ht="111.6" customHeight="1"/>
    <row r="1867" ht="138" customHeight="1"/>
    <row r="1868" ht="45.59999999999999" customHeight="1"/>
    <row r="1869" ht="32.4" customHeight="1"/>
    <row r="1870" ht="72" customHeight="1"/>
    <row r="1871" ht="45.59999999999999" customHeight="1"/>
    <row r="1872" ht="124.8" customHeight="1"/>
    <row r="1873" ht="98.39999999999999" customHeight="1"/>
    <row r="1874" ht="98.39999999999999" customHeight="1"/>
    <row r="1875" ht="98.39999999999999" customHeight="1"/>
    <row r="1876" ht="72" customHeight="1"/>
    <row r="1877" ht="85.19999999999999" customHeight="1"/>
    <row r="1878" ht="58.8" customHeight="1"/>
    <row r="1879" ht="58.8" customHeight="1"/>
    <row r="1880" ht="58.8" customHeight="1"/>
    <row r="1881" ht="98.39999999999999" customHeight="1"/>
    <row r="1882" ht="164.4" customHeight="1"/>
    <row r="1883" ht="72" customHeight="1"/>
    <row r="1884" ht="45.59999999999999" customHeight="1"/>
    <row r="1885" ht="124.8" customHeight="1"/>
    <row r="1886" ht="151.2" customHeight="1"/>
    <row r="1887" ht="32.4" customHeight="1"/>
    <row r="1888" ht="111.6" customHeight="1"/>
    <row r="1889" ht="32.4" customHeight="1"/>
    <row r="1890" ht="98.39999999999999" customHeight="1"/>
    <row r="1891" ht="72" customHeight="1"/>
    <row r="1892" ht="151.2" customHeight="1"/>
    <row r="1893" ht="124.8" customHeight="1"/>
    <row r="1894" ht="124.8" customHeight="1"/>
    <row r="1895" ht="58.8" customHeight="1"/>
    <row r="1896" ht="151.2" customHeight="1"/>
    <row r="1897" ht="138" customHeight="1"/>
    <row r="1898" ht="138" customHeight="1"/>
    <row r="1899" ht="72" customHeight="1"/>
    <row r="1900" ht="138" customHeight="1"/>
    <row r="1901" ht="151.2" customHeight="1"/>
    <row r="1902" ht="85.19999999999999" customHeight="1"/>
    <row r="1903" ht="32.4" customHeight="1"/>
    <row r="1904" ht="164.4" customHeight="1"/>
    <row r="1905" ht="45.59999999999999" customHeight="1"/>
    <row r="1906" ht="138" customHeight="1"/>
    <row r="1907" ht="58.8" customHeight="1"/>
    <row r="1908" ht="32.4" customHeight="1"/>
    <row r="1909" ht="85.19999999999999" customHeight="1"/>
    <row r="1910" ht="111.6" customHeight="1"/>
    <row r="1911" ht="85.19999999999999" customHeight="1"/>
    <row r="1912" ht="32.4" customHeight="1"/>
    <row r="1913" ht="45.59999999999999" customHeight="1"/>
    <row r="1914" ht="85.19999999999999" customHeight="1"/>
    <row r="1915" ht="85.19999999999999" customHeight="1"/>
    <row r="1916" ht="58.8" customHeight="1"/>
    <row r="1917" ht="164.4" customHeight="1"/>
    <row r="1918" ht="72" customHeight="1"/>
    <row r="1919" ht="164.4" customHeight="1"/>
    <row r="1920" ht="177.6" customHeight="1"/>
    <row r="1921" ht="164.4" customHeight="1"/>
    <row r="1922" ht="256.8" customHeight="1"/>
    <row r="1923" ht="177.6" customHeight="1"/>
    <row r="1924" ht="177.6" customHeight="1"/>
    <row r="1925" ht="111.6" customHeight="1"/>
    <row r="1926" ht="111.6" customHeight="1"/>
    <row r="1927" ht="204" customHeight="1"/>
    <row r="1928" ht="45.59999999999999" customHeight="1"/>
    <row r="1929" ht="151.2" customHeight="1"/>
    <row r="1930" ht="151.2" customHeight="1"/>
    <row r="1931" ht="151.2" customHeight="1"/>
    <row r="1932" ht="217.2" customHeight="1"/>
    <row r="1933" ht="45.59999999999999" customHeight="1"/>
    <row r="1934" ht="177.6" customHeight="1"/>
    <row r="1935" ht="85.19999999999999" customHeight="1"/>
    <row r="1936" ht="58.8" customHeight="1"/>
    <row r="1937" ht="190.8" customHeight="1"/>
    <row r="1938" ht="151.2" customHeight="1"/>
    <row r="1939" ht="72" customHeight="1"/>
    <row r="1940" ht="124.8" customHeight="1"/>
    <row r="1941" ht="151.2" customHeight="1"/>
    <row r="1942" ht="138" customHeight="1"/>
    <row r="1943" ht="124.8" customHeight="1"/>
    <row r="1944" ht="204" customHeight="1"/>
    <row r="1945" ht="177.6" customHeight="1"/>
    <row r="1946" ht="111.6" customHeight="1"/>
    <row r="1947" ht="151.2" customHeight="1"/>
    <row r="1948" ht="204" customHeight="1"/>
    <row r="1949" ht="177.6" customHeight="1"/>
    <row r="1950" ht="164.4" customHeight="1"/>
    <row r="1951" ht="138" customHeight="1"/>
    <row r="1952" ht="177.6" customHeight="1"/>
    <row r="1953" ht="85.19999999999999" customHeight="1"/>
    <row r="1954" ht="217.2" customHeight="1"/>
    <row r="1955" ht="151.2" customHeight="1"/>
    <row r="1956" ht="124.8" customHeight="1"/>
    <row r="1957" ht="151.2" customHeight="1"/>
    <row r="1958" ht="111.6" customHeight="1"/>
    <row r="1959" ht="204" customHeight="1"/>
    <row r="1960" ht="217.2" customHeight="1"/>
    <row r="1961" ht="177.6" customHeight="1"/>
    <row r="1962" ht="98.39999999999999" customHeight="1"/>
    <row r="1963" ht="58.8" customHeight="1"/>
    <row r="1964" ht="85.19999999999999" customHeight="1"/>
    <row r="1965" ht="32.4" customHeight="1"/>
    <row r="1966" ht="72" customHeight="1"/>
    <row r="1967" ht="58.8" customHeight="1"/>
    <row r="1968" ht="45.59999999999999" customHeight="1"/>
    <row r="1969" ht="58.8" customHeight="1"/>
    <row r="1970" ht="58.8" customHeight="1"/>
    <row r="1971" ht="151.2" customHeight="1"/>
    <row r="1972" ht="151.2" customHeight="1"/>
    <row r="1973" ht="72" customHeight="1"/>
    <row r="1974" ht="164.4" customHeight="1"/>
    <row r="1975" ht="177.6" customHeight="1"/>
    <row r="1976" ht="124.8" customHeight="1"/>
    <row r="1977" ht="45.59999999999999" customHeight="1"/>
    <row r="1978" ht="45.59999999999999" customHeight="1"/>
    <row r="1979" ht="151.2" customHeight="1"/>
    <row r="1980" ht="124.8" customHeight="1"/>
    <row r="1981" ht="138" customHeight="1"/>
    <row r="1982" ht="58.8" customHeight="1"/>
    <row r="1983" ht="85.19999999999999" customHeight="1"/>
    <row r="1984" ht="85.19999999999999" customHeight="1"/>
    <row r="1985" ht="85.19999999999999" customHeight="1"/>
    <row r="1986" ht="45.59999999999999" customHeight="1"/>
    <row r="1987" ht="230.4" customHeight="1"/>
    <row r="1988" ht="32.4" customHeight="1"/>
    <row r="1989" ht="45.59999999999999" customHeight="1"/>
    <row r="1990" ht="32.4" customHeight="1"/>
    <row r="1991" ht="32.4" customHeight="1"/>
    <row r="1992" ht="58.8" customHeight="1"/>
    <row r="1993" ht="45.59999999999999" customHeight="1"/>
    <row r="1994" ht="32.4" customHeight="1"/>
    <row r="1995" ht="32.4" customHeight="1"/>
    <row r="1996" ht="124.8" customHeight="1"/>
    <row r="1997" ht="72" customHeight="1"/>
    <row r="1998" ht="177.6" customHeight="1"/>
    <row r="1999" ht="151.2" customHeight="1"/>
    <row r="2000" ht="72" customHeight="1"/>
    <row r="2001" ht="151.2" customHeight="1"/>
    <row r="2002" ht="45.59999999999999" customHeight="1"/>
    <row r="2003" ht="138" customHeight="1"/>
    <row r="2004" ht="72" customHeight="1"/>
    <row r="2005" ht="164.4" customHeight="1"/>
    <row r="2006" ht="164.4" customHeight="1"/>
    <row r="2007" ht="151.2" customHeight="1"/>
    <row r="2008" ht="85.19999999999999" customHeight="1"/>
    <row r="2009" ht="296.4" customHeight="1"/>
    <row r="2010" ht="164.4" customHeight="1"/>
    <row r="2011" ht="32.4" customHeight="1"/>
    <row r="2012" ht="151.2" customHeight="1"/>
    <row r="2013" ht="45.59999999999999" customHeight="1"/>
    <row r="2014" ht="45.59999999999999" customHeight="1"/>
    <row r="2015" ht="32.4" customHeight="1"/>
    <row r="2016" ht="270" customHeight="1"/>
    <row r="2017" ht="190.8" customHeight="1"/>
    <row r="2018" ht="45.59999999999999" customHeight="1"/>
    <row r="2019" ht="138" customHeight="1"/>
    <row r="2020" ht="32.4" customHeight="1"/>
    <row r="2021" ht="58.8" customHeight="1"/>
    <row r="2022" ht="124.8" customHeight="1"/>
    <row r="2023" ht="124.8" customHeight="1"/>
    <row r="2024" ht="45.59999999999999" customHeight="1"/>
    <row r="2025" ht="177.6" customHeight="1"/>
    <row r="2026" ht="190.8" customHeight="1"/>
    <row r="2027" ht="177.6" customHeight="1"/>
    <row r="2028" ht="204" customHeight="1"/>
    <row r="2029" ht="177.6" customHeight="1"/>
    <row r="2030" ht="111.6" customHeight="1"/>
    <row r="2031" ht="32.4" customHeight="1"/>
    <row r="2032" ht="98.39999999999999" customHeight="1"/>
    <row r="2033" ht="151.2" customHeight="1"/>
    <row r="2034" ht="177.6" customHeight="1"/>
    <row r="2035" ht="204" customHeight="1"/>
    <row r="2036" ht="124.8" customHeight="1"/>
    <row r="2037" ht="111.6" customHeight="1"/>
    <row r="2038" ht="164.4" customHeight="1"/>
    <row r="2039" ht="98.39999999999999" customHeight="1"/>
    <row r="2040" ht="190.8" customHeight="1"/>
    <row r="2041" ht="230.4" customHeight="1"/>
    <row r="2042" ht="32.4" customHeight="1"/>
    <row r="2043" ht="111.6" customHeight="1"/>
    <row r="2044" ht="111.6" customHeight="1"/>
    <row r="2045" ht="230.4" customHeight="1"/>
    <row r="2046" ht="177.6" customHeight="1"/>
    <row r="2047" ht="85.19999999999999" customHeight="1"/>
    <row r="2048" ht="72" customHeight="1"/>
    <row r="2049" ht="151.2" customHeight="1"/>
    <row r="2050" ht="58.8" customHeight="1"/>
    <row r="2051" ht="190.8" customHeight="1"/>
    <row r="2052" ht="138" customHeight="1"/>
    <row r="2053" ht="190.8" customHeight="1"/>
    <row r="2054" ht="72" customHeight="1"/>
    <row r="2055" ht="164.4" customHeight="1"/>
    <row r="2056" ht="177.6" customHeight="1"/>
    <row r="2057" ht="217.2" customHeight="1"/>
    <row r="2058" ht="204" customHeight="1"/>
    <row r="2059" ht="230.4" customHeight="1"/>
    <row r="2060" ht="45.59999999999999" customHeight="1"/>
    <row r="2061" ht="58.8" customHeight="1"/>
    <row r="2062" ht="111.6" customHeight="1"/>
    <row r="2063" ht="138" customHeight="1"/>
    <row r="2064" ht="45.59999999999999" customHeight="1"/>
    <row r="2065" ht="58.8" customHeight="1"/>
    <row r="2066" ht="111.6" customHeight="1"/>
    <row r="2067" ht="230.4" customHeight="1"/>
    <row r="2068" ht="98.39999999999999" customHeight="1"/>
    <row r="2069" ht="111.6" customHeight="1"/>
    <row r="2070" ht="111.6" customHeight="1"/>
    <row r="2071" ht="85.19999999999999" customHeight="1"/>
    <row r="2072" ht="85.19999999999999" customHeight="1"/>
    <row r="2073" ht="72" customHeight="1"/>
    <row r="2074" ht="58.8" customHeight="1"/>
    <row r="2075" ht="138" customHeight="1"/>
    <row r="2076" ht="151.2" customHeight="1"/>
    <row r="2077" ht="98.39999999999999" customHeight="1"/>
    <row r="2078" ht="111.6" customHeight="1"/>
    <row r="2079" ht="98.39999999999999" customHeight="1"/>
    <row r="2080" ht="111.6" customHeight="1"/>
    <row r="2081" ht="58.8" customHeight="1"/>
    <row r="2082" ht="98.39999999999999" customHeight="1"/>
    <row r="2083" ht="45.59999999999999" customHeight="1"/>
    <row r="2084" ht="45.59999999999999" customHeight="1"/>
    <row r="2085" ht="45.59999999999999" customHeight="1"/>
    <row r="2086" ht="151.2" customHeight="1"/>
    <row r="2087" ht="32.4" customHeight="1"/>
    <row r="2088" ht="85.19999999999999" customHeight="1"/>
    <row r="2089" ht="98.39999999999999" customHeight="1"/>
    <row r="2090" ht="98.39999999999999" customHeight="1"/>
    <row r="2091" ht="111.6" customHeight="1"/>
    <row r="2092" ht="138" customHeight="1"/>
    <row r="2093" ht="58.8" customHeight="1"/>
    <row r="2094" ht="58.8" customHeight="1"/>
    <row r="2095" ht="58.8" customHeight="1"/>
    <row r="2096" ht="98.39999999999999" customHeight="1"/>
    <row r="2097" ht="45.59999999999999" customHeight="1"/>
    <row r="2098" ht="45.59999999999999" customHeight="1"/>
    <row r="2099" ht="32.4" customHeight="1"/>
    <row r="2100" ht="85.19999999999999" customHeight="1"/>
    <row r="2101" ht="58.8" customHeight="1"/>
    <row r="2102" ht="72" customHeight="1"/>
    <row r="2103" ht="98.39999999999999" customHeight="1"/>
    <row r="2104" ht="72" customHeight="1"/>
    <row r="2105" ht="72" customHeight="1"/>
    <row r="2106" ht="45.59999999999999" customHeight="1"/>
    <row r="2107" ht="85.19999999999999" customHeight="1"/>
    <row r="2108" ht="58.8" customHeight="1"/>
    <row r="2109" ht="58.8" customHeight="1"/>
    <row r="2110" ht="32.4" customHeight="1"/>
    <row r="2111" ht="58.8" customHeight="1"/>
    <row r="2112" ht="45.59999999999999" customHeight="1"/>
    <row r="2113" ht="58.8" customHeight="1"/>
    <row r="2114" ht="98.39999999999999" customHeight="1"/>
    <row r="2115" ht="58.8" customHeight="1"/>
    <row r="2116" ht="58.8" customHeight="1"/>
    <row r="2117" ht="58.8" customHeight="1"/>
    <row r="2118" ht="58.8" customHeight="1"/>
    <row r="2119" ht="32.4" customHeight="1"/>
    <row r="2120" ht="32.4" customHeight="1"/>
    <row r="2121" ht="45.59999999999999" customHeight="1"/>
    <row r="2122" ht="45.59999999999999" customHeight="1"/>
    <row r="2123" ht="85.19999999999999" customHeight="1"/>
    <row r="2124" ht="45.59999999999999" customHeight="1"/>
    <row r="2125" ht="151.2" customHeight="1"/>
    <row r="2126" ht="111.6" customHeight="1"/>
    <row r="2127" ht="111.6" customHeight="1"/>
    <row r="2128" ht="111.6" customHeight="1"/>
    <row r="2129" ht="32.4" customHeight="1"/>
    <row r="2130" ht="32.4" customHeight="1"/>
    <row r="2131" ht="72" customHeight="1"/>
    <row r="2132" ht="32.4" customHeight="1"/>
    <row r="2133" ht="32.4" customHeight="1"/>
    <row r="2134" ht="124.8" customHeight="1"/>
    <row r="2135" ht="124.8" customHeight="1"/>
    <row r="2136" ht="138" customHeight="1"/>
    <row r="2137" ht="138" customHeight="1"/>
    <row r="2138" ht="151.2" customHeight="1"/>
    <row r="2139" ht="72" customHeight="1"/>
    <row r="2140" ht="72" customHeight="1"/>
    <row r="2141" ht="124.8" customHeight="1"/>
    <row r="2142" ht="98.39999999999999" customHeight="1"/>
    <row r="2143" ht="111.6" customHeight="1"/>
    <row r="2144" ht="85.19999999999999" customHeight="1"/>
    <row r="2145" ht="45.59999999999999" customHeight="1"/>
    <row r="2146" ht="72" customHeight="1"/>
    <row r="2147" ht="45.59999999999999" customHeight="1"/>
    <row r="2148" ht="58.8" customHeight="1"/>
    <row r="2149" ht="98.39999999999999" customHeight="1"/>
    <row r="2150" ht="190.8" customHeight="1"/>
    <row r="2151" ht="98.39999999999999" customHeight="1"/>
    <row r="2152" ht="111.6" customHeight="1"/>
    <row r="2153" ht="58.8" customHeight="1"/>
    <row r="2154" ht="58.8" customHeight="1"/>
    <row r="2155" ht="72" customHeight="1"/>
    <row r="2156" ht="98.39999999999999" customHeight="1"/>
    <row r="2157" ht="111.6" customHeight="1"/>
    <row r="2158" ht="98.39999999999999" customHeight="1"/>
    <row r="2159" ht="98.39999999999999" customHeight="1"/>
    <row r="2160" ht="111.6" customHeight="1"/>
    <row r="2161" ht="98.39999999999999" customHeight="1"/>
    <row r="2162" ht="85.19999999999999" customHeight="1"/>
    <row r="2163" ht="72" customHeight="1"/>
    <row r="2164" ht="72" customHeight="1"/>
    <row r="2165" ht="72" customHeight="1"/>
    <row r="2166" ht="45.59999999999999" customHeight="1"/>
    <row r="2167" ht="98.39999999999999" customHeight="1"/>
    <row r="2168" ht="85.19999999999999" customHeight="1"/>
    <row r="2169" ht="98.39999999999999" customHeight="1"/>
    <row r="2170" ht="32.4" customHeight="1"/>
    <row r="2171" ht="85.19999999999999" customHeight="1"/>
    <row r="2172" ht="72" customHeight="1"/>
    <row r="2173" ht="98.39999999999999" customHeight="1"/>
    <row r="2174" ht="72" customHeight="1"/>
    <row r="2175" ht="111.6" customHeight="1"/>
    <row r="2176" ht="72" customHeight="1"/>
    <row r="2177" ht="98.39999999999999" customHeight="1"/>
    <row r="2178" ht="98.39999999999999" customHeight="1"/>
    <row r="2179" ht="85.19999999999999" customHeight="1"/>
    <row r="2180" ht="138" customHeight="1"/>
    <row r="2181" ht="111.6" customHeight="1"/>
    <row r="2182" ht="45.59999999999999" customHeight="1"/>
    <row r="2183" ht="138" customHeight="1"/>
    <row r="2184" ht="111.6" customHeight="1"/>
    <row r="2185" ht="98.39999999999999" customHeight="1"/>
    <row r="2186" ht="138" customHeight="1"/>
    <row r="2187" ht="85.19999999999999" customHeight="1"/>
    <row r="2188" ht="138" customHeight="1"/>
    <row r="2189" ht="98.39999999999999" customHeight="1"/>
    <row r="2190" ht="72" customHeight="1"/>
    <row r="2191" ht="85.19999999999999" customHeight="1"/>
    <row r="2192" ht="58.8" customHeight="1"/>
    <row r="2193" ht="72" customHeight="1"/>
    <row r="2194" ht="151.2" customHeight="1"/>
    <row r="2195" ht="72" customHeight="1"/>
    <row r="2196" ht="32.4" customHeight="1"/>
    <row r="2197" ht="72" customHeight="1"/>
    <row r="2198" ht="138" customHeight="1"/>
    <row r="2199" ht="111.6" customHeight="1"/>
    <row r="2200" ht="138" customHeight="1"/>
    <row r="2201" ht="45.59999999999999" customHeight="1"/>
    <row r="2202" ht="85.19999999999999" customHeight="1"/>
    <row r="2203" ht="72" customHeight="1"/>
    <row r="2204" ht="124.8" customHeight="1"/>
    <row r="2205" ht="111.6" customHeight="1"/>
    <row r="2206" ht="58.8" customHeight="1"/>
    <row r="2207" ht="85.19999999999999" customHeight="1"/>
    <row r="2208" ht="32.4" customHeight="1"/>
    <row r="2209" ht="85.19999999999999" customHeight="1"/>
    <row r="2210" ht="111.6" customHeight="1"/>
    <row r="2211" ht="85.19999999999999" customHeight="1"/>
    <row r="2212" ht="138" customHeight="1"/>
    <row r="2213" ht="98.39999999999999" customHeight="1"/>
    <row r="2214" ht="98.39999999999999" customHeight="1"/>
    <row r="2215" ht="124.8" customHeight="1"/>
    <row r="2216" ht="151.2" customHeight="1"/>
    <row r="2217" ht="58.8" customHeight="1"/>
    <row r="2218" ht="138" customHeight="1"/>
    <row r="2219" ht="98.39999999999999" customHeight="1"/>
    <row r="2220" ht="151.2" customHeight="1"/>
    <row r="2221" ht="85.19999999999999" customHeight="1"/>
    <row r="2222" ht="98.39999999999999" customHeight="1"/>
    <row r="2223" ht="85.19999999999999" customHeight="1"/>
    <row r="2224" ht="85.19999999999999" customHeight="1"/>
    <row r="2225" ht="85.19999999999999" customHeight="1"/>
    <row r="2226" ht="98.39999999999999" customHeight="1"/>
    <row r="2227" ht="98.39999999999999" customHeight="1"/>
    <row r="2228" ht="138" customHeight="1"/>
    <row r="2229" ht="85.19999999999999" customHeight="1"/>
    <row r="2230" ht="98.39999999999999" customHeight="1"/>
    <row r="2231" ht="58.8" customHeight="1"/>
    <row r="2232" ht="72" customHeight="1"/>
    <row r="2233" ht="85.19999999999999" customHeight="1"/>
    <row r="2234" ht="98.39999999999999" customHeight="1"/>
    <row r="2235" ht="45.59999999999999" customHeight="1"/>
    <row r="2236" ht="111.6" customHeight="1"/>
    <row r="2237" ht="124.8" customHeight="1"/>
    <row r="2238" ht="204" customHeight="1"/>
    <row r="2239" ht="58.8" customHeight="1"/>
    <row r="2240" ht="72" customHeight="1"/>
    <row r="2241" ht="98.39999999999999" customHeight="1"/>
    <row r="2242" ht="151.2" customHeight="1"/>
    <row r="2243" ht="58.8" customHeight="1"/>
    <row r="2244" ht="98.39999999999999" customHeight="1"/>
    <row r="2245" ht="98.39999999999999" customHeight="1"/>
    <row r="2246" ht="32.4" customHeight="1"/>
    <row r="2247" ht="45.59999999999999" customHeight="1"/>
    <row r="2248" ht="85.19999999999999" customHeight="1"/>
    <row r="2249" ht="58.8" customHeight="1"/>
    <row r="2250" ht="72" customHeight="1"/>
    <row r="2251" ht="151.2" customHeight="1"/>
    <row r="2252" ht="190.8" customHeight="1"/>
    <row r="2253" ht="58.8" customHeight="1"/>
    <row r="2254" ht="164.4" customHeight="1"/>
    <row r="2255" ht="230.4" customHeight="1"/>
    <row r="2256" ht="138" customHeight="1"/>
    <row r="2257" ht="85.19999999999999" customHeight="1"/>
    <row r="2258" ht="72" customHeight="1"/>
    <row r="2259" ht="45.59999999999999" customHeight="1"/>
    <row r="2260" ht="58.8" customHeight="1"/>
    <row r="2261" ht="98.39999999999999" customHeight="1"/>
    <row r="2262" ht="72" customHeight="1"/>
    <row r="2263" ht="85.19999999999999" customHeight="1"/>
    <row r="2264" ht="72" customHeight="1"/>
    <row r="2265" ht="111.6" customHeight="1"/>
    <row r="2266" ht="98.39999999999999" customHeight="1"/>
    <row r="2267" ht="32.4" customHeight="1"/>
    <row r="2268" ht="58.8" customHeight="1"/>
    <row r="2269" ht="111.6" customHeight="1"/>
    <row r="2270" ht="72" customHeight="1"/>
    <row r="2271" ht="85.19999999999999" customHeight="1"/>
    <row r="2272" ht="164.4" customHeight="1"/>
    <row r="2273" ht="98.39999999999999" customHeight="1"/>
    <row r="2274" ht="111.6" customHeight="1"/>
    <row r="2275" ht="111.6" customHeight="1"/>
    <row r="2276" ht="98.39999999999999" customHeight="1"/>
    <row r="2277" ht="164.4" customHeight="1"/>
    <row r="2278" ht="98.39999999999999" customHeight="1"/>
    <row r="2279" ht="111.6" customHeight="1"/>
    <row r="2280" ht="98.39999999999999" customHeight="1"/>
    <row r="2281" ht="124.8" customHeight="1"/>
    <row r="2282" ht="151.2" customHeight="1"/>
    <row r="2283" ht="124.8" customHeight="1"/>
    <row r="2284" ht="190.8" customHeight="1"/>
    <row r="2285" ht="58.8" customHeight="1"/>
    <row r="2286" ht="58.8" customHeight="1"/>
    <row r="2287" ht="164.4" customHeight="1"/>
    <row r="2288" ht="85.19999999999999" customHeight="1"/>
    <row r="2289" ht="58.8" customHeight="1"/>
    <row r="2290" ht="190.8" customHeight="1"/>
    <row r="2291" ht="138" customHeight="1"/>
    <row r="2292" ht="58.8" customHeight="1"/>
    <row r="2293" ht="124.8" customHeight="1"/>
    <row r="2294" ht="111.6" customHeight="1"/>
    <row r="2295" ht="45.59999999999999" customHeight="1"/>
    <row r="2296" ht="32.4" customHeight="1"/>
    <row r="2297" ht="32.4" customHeight="1"/>
    <row r="2298" ht="124.8" customHeight="1"/>
    <row r="2299" ht="85.19999999999999" customHeight="1"/>
    <row r="2300" ht="85.19999999999999" customHeight="1"/>
    <row r="2301" ht="256.8" customHeight="1"/>
    <row r="2302" ht="204" customHeight="1"/>
    <row r="2303" ht="124.8" customHeight="1"/>
    <row r="2304" ht="98.39999999999999" customHeight="1"/>
    <row r="2305" ht="45.59999999999999" customHeight="1"/>
    <row r="2306" ht="204" customHeight="1"/>
    <row r="2307" ht="32.4" customHeight="1"/>
    <row r="2308" ht="72" customHeight="1"/>
    <row r="2309" ht="58.8" customHeight="1"/>
    <row r="2310" ht="58.8" customHeight="1"/>
    <row r="2311" ht="243.6" customHeight="1"/>
    <row r="2312" ht="58.8" customHeight="1"/>
    <row r="2313" ht="58.8" customHeight="1"/>
    <row r="2314" ht="45.59999999999999" customHeight="1"/>
    <row r="2315" ht="111.6" customHeight="1"/>
    <row r="2316" ht="256.8" customHeight="1"/>
    <row r="2317" ht="138" customHeight="1"/>
    <row r="2318" ht="164.4" customHeight="1"/>
    <row r="2319" ht="164.4" customHeight="1"/>
    <row r="2320" ht="45.59999999999999" customHeight="1"/>
    <row r="2321" ht="58.8" customHeight="1"/>
    <row r="2322" ht="58.8" customHeight="1"/>
    <row r="2323" ht="45.59999999999999" customHeight="1"/>
    <row r="2324" ht="45.59999999999999" customHeight="1"/>
    <row r="2325" ht="151.2" customHeight="1"/>
    <row r="2326" ht="45.59999999999999" customHeight="1"/>
    <row r="2327" ht="98.39999999999999" customHeight="1"/>
    <row r="2328" ht="111.6" customHeight="1"/>
    <row r="2329" ht="85.19999999999999" customHeight="1"/>
    <row r="2330" ht="85.19999999999999" customHeight="1"/>
    <row r="2331" ht="151.2" customHeight="1"/>
    <row r="2332" ht="138" customHeight="1"/>
    <row r="2333" ht="45.59999999999999" customHeight="1"/>
    <row r="2334" ht="85.19999999999999" customHeight="1"/>
    <row r="2335" ht="58.8" customHeight="1"/>
    <row r="2336" ht="32.4" customHeight="1"/>
    <row r="2337" ht="124.8" customHeight="1"/>
    <row r="2338" ht="85.19999999999999" customHeight="1"/>
    <row r="2339" ht="85.19999999999999" customHeight="1"/>
    <row r="2340" ht="72" customHeight="1"/>
    <row r="2341" ht="85.19999999999999" customHeight="1"/>
    <row r="2342" ht="72" customHeight="1"/>
    <row r="2343" ht="72" customHeight="1"/>
    <row r="2344" ht="85.19999999999999" customHeight="1"/>
    <row r="2345" ht="58.8" customHeight="1"/>
    <row r="2346" ht="45.59999999999999" customHeight="1"/>
    <row r="2347" ht="58.8" customHeight="1"/>
    <row r="2348" ht="72" customHeight="1"/>
    <row r="2349" ht="98.39999999999999" customHeight="1"/>
    <row r="2350" ht="72" customHeight="1"/>
    <row r="2351" ht="72" customHeight="1"/>
    <row r="2352" ht="45.59999999999999" customHeight="1"/>
    <row r="2353" ht="45.59999999999999" customHeight="1"/>
    <row r="2354" ht="111.6" customHeight="1"/>
    <row r="2355" ht="124.8" customHeight="1"/>
    <row r="2356" ht="58.8" customHeight="1"/>
    <row r="2357" ht="32.4" customHeight="1"/>
    <row r="2358" ht="32.4" customHeight="1"/>
    <row r="2359" ht="58.8" customHeight="1"/>
    <row r="2360" ht="124.8" customHeight="1"/>
    <row r="2361" ht="85.19999999999999" customHeight="1"/>
    <row r="2362" ht="45.59999999999999" customHeight="1"/>
    <row r="2363" ht="177.6" customHeight="1"/>
    <row r="2364" ht="72" customHeight="1"/>
    <row r="2365" ht="45.59999999999999" customHeight="1"/>
    <row r="2366" ht="124.8" customHeight="1"/>
    <row r="2367" ht="190.8" customHeight="1"/>
    <row r="2368" ht="58.8" customHeight="1"/>
    <row r="2369" ht="124.8" customHeight="1"/>
    <row r="2370" ht="138" customHeight="1"/>
    <row r="2371" ht="85.19999999999999" customHeight="1"/>
    <row r="2372" ht="58.8" customHeight="1"/>
    <row r="2373" ht="58.8" customHeight="1"/>
    <row r="2374" ht="111.6" customHeight="1"/>
    <row r="2375" ht="98.39999999999999" customHeight="1"/>
    <row r="2376" ht="124.8" customHeight="1"/>
    <row r="2377" ht="164.4" customHeight="1"/>
    <row r="2378" ht="151.2" customHeight="1"/>
    <row r="2379" ht="217.2" customHeight="1"/>
    <row r="2380" ht="32.4" customHeight="1"/>
    <row r="2381" ht="72" customHeight="1"/>
    <row r="2382" ht="72" customHeight="1"/>
    <row r="2383" ht="58.8" customHeight="1"/>
    <row r="2384" ht="72" customHeight="1"/>
    <row r="2385" ht="72" customHeight="1"/>
    <row r="2386" ht="72" customHeight="1"/>
    <row r="2387" ht="58.8" customHeight="1"/>
    <row r="2388" ht="58.8" customHeight="1"/>
    <row r="2389" ht="98.39999999999999" customHeight="1"/>
    <row r="2390" ht="58.8" customHeight="1"/>
    <row r="2391" ht="85.19999999999999" customHeight="1"/>
    <row r="2392" ht="45.59999999999999" customHeight="1"/>
    <row r="2393" ht="111.6" customHeight="1"/>
    <row r="2394" ht="151.2" customHeight="1"/>
    <row r="2395" ht="58.8" customHeight="1"/>
    <row r="2396" ht="177.6" customHeight="1"/>
    <row r="2397" ht="124.8" customHeight="1"/>
    <row r="2398" ht="124.8" customHeight="1"/>
    <row r="2399" ht="177.6" customHeight="1"/>
    <row r="2400" ht="124.8" customHeight="1"/>
    <row r="2401" ht="164.4" customHeight="1"/>
    <row r="2402" ht="98.39999999999999" customHeight="1"/>
    <row r="2403" ht="98.39999999999999" customHeight="1"/>
    <row r="2404" ht="138" customHeight="1"/>
    <row r="2405" ht="151.2" customHeight="1"/>
    <row r="2406" ht="124.8" customHeight="1"/>
    <row r="2407" ht="58.8" customHeight="1"/>
    <row r="2408" ht="98.39999999999999" customHeight="1"/>
    <row r="2409" ht="72" customHeight="1"/>
    <row r="2410" ht="190.8" customHeight="1"/>
    <row r="2411" ht="98.39999999999999" customHeight="1"/>
    <row r="2412" ht="72" customHeight="1"/>
    <row r="2413" ht="124.8" customHeight="1"/>
    <row r="2414" ht="138" customHeight="1"/>
    <row r="2415" ht="85.19999999999999" customHeight="1"/>
    <row r="2416" ht="111.6" customHeight="1"/>
    <row r="2417" ht="98.39999999999999" customHeight="1"/>
    <row r="2418" ht="85.19999999999999" customHeight="1"/>
    <row r="2419" ht="151.2" customHeight="1"/>
    <row r="2420" ht="151.2" customHeight="1"/>
    <row r="2421" ht="138" customHeight="1"/>
    <row r="2422" ht="85.19999999999999" customHeight="1"/>
    <row r="2423" ht="98.39999999999999" customHeight="1"/>
    <row r="2424" ht="98.39999999999999" customHeight="1"/>
    <row r="2425" ht="124.8" customHeight="1"/>
    <row r="2426" ht="72" customHeight="1"/>
    <row r="2427" ht="72" customHeight="1"/>
    <row r="2428" ht="72" customHeight="1"/>
    <row r="2429" ht="32.4" customHeight="1"/>
    <row r="2430" ht="98.39999999999999" customHeight="1"/>
    <row r="2431" ht="85.19999999999999" customHeight="1"/>
    <row r="2432" ht="72" customHeight="1"/>
    <row r="2433" ht="98.39999999999999" customHeight="1"/>
    <row r="2434" ht="138" customHeight="1"/>
    <row r="2435" ht="138" customHeight="1"/>
    <row r="2436" ht="124.8" customHeight="1"/>
    <row r="2437" ht="85.19999999999999" customHeight="1"/>
    <row r="2438" ht="111.6" customHeight="1"/>
    <row r="2439" ht="111.6" customHeight="1"/>
    <row r="2440" ht="98.39999999999999" customHeight="1"/>
    <row r="2441" ht="32.4" customHeight="1"/>
    <row r="2442" ht="177.6" customHeight="1"/>
    <row r="2443" ht="98.39999999999999" customHeight="1"/>
    <row r="2444" ht="72" customHeight="1"/>
    <row r="2445" ht="85.19999999999999" customHeight="1"/>
    <row r="2446" ht="111.6" customHeight="1"/>
    <row r="2447" ht="32.4" customHeight="1"/>
    <row r="2448" ht="151.2" customHeight="1"/>
    <row r="2449" ht="164.4" customHeight="1"/>
    <row r="2450" ht="151.2" customHeight="1"/>
    <row r="2451" ht="138" customHeight="1"/>
    <row r="2452" ht="111.6" customHeight="1"/>
    <row r="2453" ht="85.19999999999999" customHeight="1"/>
    <row r="2454" ht="151.2" customHeight="1"/>
    <row r="2455" ht="177.6" customHeight="1"/>
    <row r="2456" ht="164.4" customHeight="1"/>
    <row r="2457" ht="151.2" customHeight="1"/>
    <row r="2458" ht="124.8" customHeight="1"/>
    <row r="2459" ht="190.8" customHeight="1"/>
    <row r="2460" ht="151.2" customHeight="1"/>
    <row r="2461" ht="138" customHeight="1"/>
    <row r="2462" ht="124.8" customHeight="1"/>
    <row r="2463" ht="151.2" customHeight="1"/>
    <row r="2464" ht="45.59999999999999" customHeight="1"/>
    <row r="2465" ht="45.59999999999999" customHeight="1"/>
    <row r="2466" ht="124.8" customHeight="1"/>
    <row r="2467" ht="111.6" customHeight="1"/>
    <row r="2468" ht="85.19999999999999" customHeight="1"/>
    <row r="2469" ht="98.39999999999999" customHeight="1"/>
    <row r="2470" ht="124.8" customHeight="1"/>
    <row r="2471" ht="124.8" customHeight="1"/>
    <row r="2472" ht="124.8" customHeight="1"/>
    <row r="2473" ht="98.39999999999999" customHeight="1"/>
    <row r="2474" ht="164.4" customHeight="1"/>
    <row r="2475" ht="111.6" customHeight="1"/>
    <row r="2476" ht="111.6" customHeight="1"/>
    <row r="2477" ht="151.2" customHeight="1"/>
    <row r="2478" ht="124.8" customHeight="1"/>
    <row r="2479" ht="111.6" customHeight="1"/>
    <row r="2480" ht="98.39999999999999" customHeight="1"/>
    <row r="2481" ht="138" customHeight="1"/>
    <row r="2482" ht="124.8" customHeight="1"/>
    <row r="2483" ht="111.6" customHeight="1"/>
    <row r="2484" ht="45.59999999999999" customHeight="1"/>
    <row r="2485" ht="85.19999999999999" customHeight="1"/>
    <row r="2486" ht="85.19999999999999" customHeight="1"/>
    <row r="2487" ht="72" customHeight="1"/>
    <row r="2488" ht="85.19999999999999" customHeight="1"/>
    <row r="2489" ht="85.19999999999999" customHeight="1"/>
    <row r="2490" ht="45.59999999999999" customHeight="1"/>
    <row r="2491" ht="72" customHeight="1"/>
    <row r="2492" ht="32.4" customHeight="1"/>
    <row r="2493" ht="124.8" customHeight="1"/>
    <row r="2494" ht="98.39999999999999" customHeight="1"/>
    <row r="2495" ht="85.19999999999999" customHeight="1"/>
    <row r="2496" ht="58.8" customHeight="1"/>
    <row r="2497" ht="58.8" customHeight="1"/>
    <row r="2498" ht="72" customHeight="1"/>
    <row r="2499" ht="45.59999999999999" customHeight="1"/>
    <row r="2500" ht="85.19999999999999" customHeight="1"/>
    <row r="2501" ht="98.39999999999999" customHeight="1"/>
    <row r="2502" ht="177.6" customHeight="1"/>
    <row r="2503" ht="85.19999999999999" customHeight="1"/>
    <row r="2504" ht="85.19999999999999" customHeight="1"/>
    <row r="2505" ht="72" customHeight="1"/>
    <row r="2506" ht="58.8" customHeight="1"/>
    <row r="2507" ht="45.59999999999999" customHeight="1"/>
    <row r="2508" ht="45.59999999999999" customHeight="1"/>
    <row r="2509" ht="45.59999999999999" customHeight="1"/>
    <row r="2510" ht="72" customHeight="1"/>
    <row r="2511" ht="45.59999999999999" customHeight="1"/>
    <row r="2512" ht="85.19999999999999" customHeight="1"/>
    <row r="2513" ht="45.59999999999999" customHeight="1"/>
    <row r="2514" ht="45.59999999999999" customHeight="1"/>
    <row r="2515" ht="45.59999999999999" customHeight="1"/>
    <row r="2516" ht="58.8" customHeight="1"/>
    <row r="2517" ht="72" customHeight="1"/>
    <row r="2518" ht="124.8" customHeight="1"/>
    <row r="2519" ht="85.19999999999999" customHeight="1"/>
    <row r="2520" ht="72" customHeight="1"/>
    <row r="2521" ht="151.2" customHeight="1"/>
    <row r="2522" ht="45.59999999999999" customHeight="1"/>
    <row r="2523" ht="151.2" customHeight="1"/>
    <row r="2524" ht="85.19999999999999" customHeight="1"/>
    <row r="2525" ht="85.19999999999999" customHeight="1"/>
    <row r="2526" ht="32.4" customHeight="1"/>
    <row r="2527" ht="98.39999999999999" customHeight="1"/>
    <row r="2528" ht="111.6" customHeight="1"/>
    <row r="2529" ht="72" customHeight="1"/>
    <row r="2530" ht="85.19999999999999" customHeight="1"/>
    <row r="2531" ht="72" customHeight="1"/>
    <row r="2532" ht="45.59999999999999" customHeight="1"/>
    <row r="2533" ht="72" customHeight="1"/>
    <row r="2534" ht="151.2" customHeight="1"/>
    <row r="2535" ht="164.4" customHeight="1"/>
    <row r="2536" ht="72" customHeight="1"/>
    <row r="2537" ht="111.6" customHeight="1"/>
    <row r="2538" ht="124.8" customHeight="1"/>
    <row r="2539" ht="111.6" customHeight="1"/>
    <row r="2540" ht="58.8" customHeight="1"/>
    <row r="2541" ht="85.19999999999999" customHeight="1"/>
    <row r="2542" ht="164.4" customHeight="1"/>
    <row r="2543" ht="111.6" customHeight="1"/>
    <row r="2544" ht="98.39999999999999" customHeight="1"/>
    <row r="2545" ht="111.6" customHeight="1"/>
    <row r="2546" ht="85.19999999999999" customHeight="1"/>
    <row r="2547" ht="85.19999999999999" customHeight="1"/>
    <row r="2548" ht="177.6" customHeight="1"/>
    <row r="2549" ht="58.8" customHeight="1"/>
    <row r="2550" ht="72" customHeight="1"/>
    <row r="2551" ht="58.8" customHeight="1"/>
    <row r="2552" ht="45.59999999999999" customHeight="1"/>
    <row r="2553" ht="58.8" customHeight="1"/>
    <row r="2554" ht="32.4" customHeight="1"/>
    <row r="2555" ht="217.2" customHeight="1"/>
    <row r="2556" ht="164.4" customHeight="1"/>
    <row r="2557" ht="138" customHeight="1"/>
    <row r="2558" ht="85.19999999999999" customHeight="1"/>
    <row r="2559" ht="98.39999999999999" customHeight="1"/>
    <row r="2560" ht="72" customHeight="1"/>
    <row r="2561" ht="72" customHeight="1"/>
    <row r="2562" ht="72" customHeight="1"/>
    <row r="2563" ht="138" customHeight="1"/>
    <row r="2564" ht="98.39999999999999" customHeight="1"/>
    <row r="2565" ht="98.39999999999999" customHeight="1"/>
    <row r="2566" ht="85.19999999999999" customHeight="1"/>
    <row r="2567" ht="98.39999999999999" customHeight="1"/>
    <row r="2568" ht="45.59999999999999" customHeight="1"/>
    <row r="2569" ht="124.8" customHeight="1"/>
    <row r="2570" ht="72" customHeight="1"/>
    <row r="2571" ht="98.39999999999999" customHeight="1"/>
    <row r="2572" ht="111.6" customHeight="1"/>
    <row r="2573" ht="58.8" customHeight="1"/>
    <row r="2574" ht="124.8" customHeight="1"/>
    <row r="2575" ht="98.39999999999999" customHeight="1"/>
    <row r="2576" ht="111.6" customHeight="1"/>
    <row r="2577" ht="124.8" customHeight="1"/>
    <row r="2578" ht="98.39999999999999" customHeight="1"/>
    <row r="2579" ht="72" customHeight="1"/>
    <row r="2580" ht="85.19999999999999" customHeight="1"/>
    <row r="2581" ht="58.8" customHeight="1"/>
    <row r="2582" ht="124.8" customHeight="1"/>
    <row r="2583" ht="98.39999999999999" customHeight="1"/>
    <row r="2584" ht="32.4" customHeight="1"/>
    <row r="2585" ht="177.6" customHeight="1"/>
    <row r="2586" ht="85.19999999999999" customHeight="1"/>
    <row r="2587" ht="72" customHeight="1"/>
    <row r="2588" ht="72" customHeight="1"/>
    <row r="2589" ht="72" customHeight="1"/>
    <row r="2590" ht="72" customHeight="1"/>
    <row r="2591" ht="72" customHeight="1"/>
    <row r="2592" ht="98.39999999999999" customHeight="1"/>
    <row r="2593" ht="72" customHeight="1"/>
    <row r="2594" ht="98.39999999999999" customHeight="1"/>
    <row r="2595" ht="72" customHeight="1"/>
    <row r="2596" ht="72" customHeight="1"/>
    <row r="2597" ht="45.59999999999999" customHeight="1"/>
    <row r="2598" ht="98.39999999999999" customHeight="1"/>
    <row r="2599" ht="45.59999999999999" customHeight="1"/>
    <row r="2600" ht="45.59999999999999" customHeight="1"/>
    <row r="2601" ht="58.8" customHeight="1"/>
    <row r="2602" ht="138" customHeight="1"/>
    <row r="2603" ht="85.19999999999999" customHeight="1"/>
    <row r="2604" ht="72" customHeight="1"/>
    <row r="2605" ht="45.59999999999999" customHeight="1"/>
    <row r="2606" ht="58.8" customHeight="1"/>
    <row r="2607" ht="45.59999999999999" customHeight="1"/>
    <row r="2608" ht="58.8" customHeight="1"/>
    <row r="2609" ht="58.8" customHeight="1"/>
    <row r="2610" ht="58.8" customHeight="1"/>
    <row r="2611" ht="58.8" customHeight="1"/>
    <row r="2612" ht="58.8" customHeight="1"/>
    <row r="2613" ht="58.8" customHeight="1"/>
    <row r="2614" ht="72" customHeight="1"/>
    <row r="2615" ht="58.8" customHeight="1"/>
    <row r="2616" ht="45.59999999999999" customHeight="1"/>
    <row r="2617" ht="58.8" customHeight="1"/>
    <row r="2618" ht="32.4" customHeight="1"/>
    <row r="2619" ht="32.4" customHeight="1"/>
    <row r="2620" ht="32.4" customHeight="1"/>
    <row r="2621" ht="45.59999999999999" customHeight="1"/>
    <row r="2622" ht="32.4" customHeight="1"/>
    <row r="2623" ht="58.8" customHeight="1"/>
    <row r="2624" ht="32.4" customHeight="1"/>
    <row r="2625" ht="45.59999999999999" customHeight="1"/>
    <row r="2626" ht="111.6" customHeight="1"/>
    <row r="2627" ht="98.39999999999999" customHeight="1"/>
    <row r="2628" ht="98.39999999999999" customHeight="1"/>
    <row r="2629" ht="98.39999999999999" customHeight="1"/>
    <row r="2630" ht="98.39999999999999" customHeight="1"/>
    <row r="2631" ht="111.6" customHeight="1"/>
    <row r="2632" ht="111.6" customHeight="1"/>
    <row r="2633" ht="72" customHeight="1"/>
    <row r="2634" ht="98.39999999999999" customHeight="1"/>
    <row r="2635" ht="85.19999999999999" customHeight="1"/>
    <row r="2636" ht="111.6" customHeight="1"/>
    <row r="2637" ht="98.39999999999999" customHeight="1"/>
    <row r="2638" ht="85.19999999999999" customHeight="1"/>
    <row r="2639" ht="111.6" customHeight="1"/>
    <row r="2640" ht="204" customHeight="1"/>
    <row r="2641" ht="124.8" customHeight="1"/>
    <row r="2642" ht="111.6" customHeight="1"/>
    <row r="2643" ht="124.8" customHeight="1"/>
    <row r="2644" ht="58.8" customHeight="1"/>
    <row r="2645" ht="138" customHeight="1"/>
    <row r="2646" ht="58.8" customHeight="1"/>
    <row r="2647" ht="72" customHeight="1"/>
    <row r="2648" ht="85.19999999999999" customHeight="1"/>
    <row r="2649" ht="85.19999999999999" customHeight="1"/>
    <row r="2650" ht="151.2" customHeight="1"/>
    <row r="2651" ht="85.19999999999999" customHeight="1"/>
    <row r="2652" ht="151.2" customHeight="1"/>
    <row r="2653" ht="98.39999999999999" customHeight="1"/>
    <row r="2654" ht="138" customHeight="1"/>
    <row r="2655" ht="85.19999999999999" customHeight="1"/>
    <row r="2656" ht="98.39999999999999" customHeight="1"/>
    <row r="2657" ht="32.4" customHeight="1"/>
    <row r="2658" ht="98.39999999999999" customHeight="1"/>
    <row r="2659" ht="124.8" customHeight="1"/>
    <row r="2660" ht="138" customHeight="1"/>
    <row r="2661" ht="98.39999999999999" customHeight="1"/>
    <row r="2662" ht="98.39999999999999" customHeight="1"/>
    <row r="2663" ht="164.4" customHeight="1"/>
    <row r="2664" ht="151.2" customHeight="1"/>
    <row r="2665" ht="98.39999999999999" customHeight="1"/>
    <row r="2666" ht="124.8" customHeight="1"/>
    <row r="2667" ht="124.8" customHeight="1"/>
    <row r="2668" ht="111.6" customHeight="1"/>
    <row r="2669" ht="72" customHeight="1"/>
    <row r="2670" ht="32.4" customHeight="1"/>
    <row r="2671" ht="164.4" customHeight="1"/>
    <row r="2672" ht="111.6" customHeight="1"/>
    <row r="2673" ht="111.6" customHeight="1"/>
    <row r="2674" ht="111.6" customHeight="1"/>
    <row r="2675" ht="151.2" customHeight="1"/>
    <row r="2676" ht="72" customHeight="1"/>
    <row r="2677" ht="98.39999999999999" customHeight="1"/>
    <row r="2678" ht="111.6" customHeight="1"/>
    <row r="2679" ht="45.59999999999999" customHeight="1"/>
    <row r="2680" ht="164.4" customHeight="1"/>
    <row r="2681" ht="138" customHeight="1"/>
    <row r="2682" ht="98.39999999999999" customHeight="1"/>
    <row r="2683" ht="85.19999999999999" customHeight="1"/>
    <row r="2684" ht="124.8" customHeight="1"/>
    <row r="2685" ht="98.39999999999999" customHeight="1"/>
    <row r="2686" ht="58.8" customHeight="1"/>
    <row r="2687" ht="124.8" customHeight="1"/>
    <row r="2688" ht="85.19999999999999" customHeight="1"/>
    <row r="2689" ht="85.19999999999999" customHeight="1"/>
    <row r="2690" ht="85.19999999999999" customHeight="1"/>
    <row r="2691" ht="85.19999999999999" customHeight="1"/>
    <row r="2692" ht="111.6" customHeight="1"/>
    <row r="2693" ht="124.8" customHeight="1"/>
    <row r="2694" ht="72" customHeight="1"/>
    <row r="2695" ht="32.4" customHeight="1"/>
    <row r="2696" ht="124.8" customHeight="1"/>
    <row r="2697" ht="32.4" customHeight="1"/>
    <row r="2698" ht="98.39999999999999" customHeight="1"/>
    <row r="2699" ht="32.4" customHeight="1"/>
    <row r="2700" ht="98.39999999999999" customHeight="1"/>
    <row r="2701" ht="98.39999999999999" customHeight="1"/>
    <row r="2702" ht="72" customHeight="1"/>
    <row r="2703" ht="85.19999999999999" customHeight="1"/>
    <row r="2704" ht="111.6" customHeight="1"/>
    <row r="2705" ht="124.8" customHeight="1"/>
    <row r="2706" ht="72" customHeight="1"/>
    <row r="2707" ht="72" customHeight="1"/>
    <row r="2708" ht="111.6" customHeight="1"/>
    <row r="2709" ht="177.6" customHeight="1"/>
    <row r="2710" ht="72" customHeight="1"/>
    <row r="2711" ht="45.59999999999999" customHeight="1"/>
    <row r="2712" ht="138" customHeight="1"/>
    <row r="2713" ht="45.59999999999999" customHeight="1"/>
    <row r="2714" ht="98.39999999999999" customHeight="1"/>
    <row r="2715" ht="85.19999999999999" customHeight="1"/>
    <row r="2716" ht="111.6" customHeight="1"/>
    <row r="2717" ht="98.39999999999999" customHeight="1"/>
    <row r="2718" ht="124.8" customHeight="1"/>
    <row r="2719" ht="98.39999999999999" customHeight="1"/>
    <row r="2720" ht="98.39999999999999" customHeight="1"/>
    <row r="2721" ht="98.39999999999999" customHeight="1"/>
    <row r="2722" ht="138" customHeight="1"/>
    <row r="2723" ht="111.6" customHeight="1"/>
    <row r="2724" ht="164.4" customHeight="1"/>
    <row r="2725" ht="72" customHeight="1"/>
    <row r="2726" ht="98.39999999999999" customHeight="1"/>
    <row r="2727" ht="98.39999999999999" customHeight="1"/>
    <row r="2728" ht="124.8" customHeight="1"/>
    <row r="2729" ht="124.8" customHeight="1"/>
    <row r="2730" ht="72" customHeight="1"/>
    <row r="2731" ht="164.4" customHeight="1"/>
    <row r="2732" ht="138" customHeight="1"/>
    <row r="2733" ht="98.39999999999999" customHeight="1"/>
    <row r="2734" ht="85.19999999999999" customHeight="1"/>
    <row r="2735" ht="98.39999999999999" customHeight="1"/>
    <row r="2736" ht="98.39999999999999" customHeight="1"/>
    <row r="2737" ht="98.39999999999999" customHeight="1"/>
    <row r="2738" ht="98.39999999999999" customHeight="1"/>
    <row r="2739" ht="164.4" customHeight="1"/>
    <row r="2740" ht="98.39999999999999" customHeight="1"/>
    <row r="2741" ht="124.8" customHeight="1"/>
    <row r="2742" ht="58.8" customHeight="1"/>
    <row r="2743" ht="98.39999999999999" customHeight="1"/>
    <row r="2744" ht="98.39999999999999" customHeight="1"/>
    <row r="2745" ht="124.8" customHeight="1"/>
    <row r="2746" ht="124.8" customHeight="1"/>
    <row r="2747" ht="164.4" customHeight="1"/>
    <row r="2748" ht="98.39999999999999" customHeight="1"/>
    <row r="2749" ht="98.39999999999999" customHeight="1"/>
    <row r="2750" ht="98.39999999999999" customHeight="1"/>
    <row r="2751" ht="111.6" customHeight="1"/>
    <row r="2752" ht="85.19999999999999" customHeight="1"/>
    <row r="2753" ht="124.8" customHeight="1"/>
    <row r="2754" ht="124.8" customHeight="1"/>
    <row r="2755" ht="151.2" customHeight="1"/>
    <row r="2756" ht="151.2" customHeight="1"/>
    <row r="2757" ht="164.4" customHeight="1"/>
    <row r="2758" ht="124.8" customHeight="1"/>
    <row r="2759" ht="151.2" customHeight="1"/>
    <row r="2760" ht="98.39999999999999" customHeight="1"/>
    <row r="2761" ht="98.39999999999999" customHeight="1"/>
    <row r="2762" ht="138" customHeight="1"/>
    <row r="2763" ht="177.6" customHeight="1"/>
    <row r="2764" ht="111.6" customHeight="1"/>
    <row r="2765" ht="138" customHeight="1"/>
    <row r="2766" ht="151.2" customHeight="1"/>
    <row r="2767" ht="111.6" customHeight="1"/>
    <row r="2768" ht="111.6" customHeight="1"/>
    <row r="2769" ht="98.39999999999999" customHeight="1"/>
    <row r="2770" ht="138" customHeight="1"/>
    <row r="2771" ht="85.19999999999999" customHeight="1"/>
    <row r="2772" ht="98.39999999999999" customHeight="1"/>
    <row r="2773" ht="98.39999999999999" customHeight="1"/>
    <row r="2774" ht="151.2" customHeight="1"/>
    <row r="2775" ht="138" customHeight="1"/>
    <row r="2776" ht="151.2" customHeight="1"/>
    <row r="2777" ht="72" customHeight="1"/>
    <row r="2778" ht="98.39999999999999" customHeight="1"/>
    <row r="2779" ht="111.6" customHeight="1"/>
    <row r="2780" ht="151.2" customHeight="1"/>
    <row r="2781" ht="98.39999999999999" customHeight="1"/>
    <row r="2782" ht="85.19999999999999" customHeight="1"/>
    <row r="2783" ht="151.2" customHeight="1"/>
    <row r="2784" ht="98.39999999999999" customHeight="1"/>
    <row r="2785" ht="85.19999999999999" customHeight="1"/>
    <row r="2786" ht="72" customHeight="1"/>
    <row r="2787" ht="45.59999999999999" customHeight="1"/>
    <row r="2788" ht="138" customHeight="1"/>
    <row r="2789" ht="85.19999999999999" customHeight="1"/>
    <row r="2790" ht="98.39999999999999" customHeight="1"/>
    <row r="2791" ht="72" customHeight="1"/>
    <row r="2792" ht="98.39999999999999" customHeight="1"/>
    <row r="2793" ht="111.6" customHeight="1"/>
    <row r="2794" ht="85.19999999999999" customHeight="1"/>
    <row r="2795" ht="151.2" customHeight="1"/>
    <row r="2796" ht="111.6" customHeight="1"/>
    <row r="2797" ht="111.6" customHeight="1"/>
    <row r="2798" ht="177.6" customHeight="1"/>
    <row r="2799" ht="98.39999999999999" customHeight="1"/>
    <row r="2800" ht="45.59999999999999" customHeight="1"/>
    <row r="2801" ht="204" customHeight="1"/>
    <row r="2802" ht="164.4" customHeight="1"/>
    <row r="2803" ht="151.2" customHeight="1"/>
    <row r="2804" ht="164.4" customHeight="1"/>
    <row r="2805" ht="111.6" customHeight="1"/>
    <row r="2806" ht="85.19999999999999" customHeight="1"/>
    <row r="2807" ht="138" customHeight="1"/>
    <row r="2808" ht="204" customHeight="1"/>
    <row r="2809" ht="124.8" customHeight="1"/>
    <row r="2810" ht="98.39999999999999" customHeight="1"/>
    <row r="2811" ht="45.59999999999999" customHeight="1"/>
    <row r="2812" ht="85.19999999999999" customHeight="1"/>
    <row r="2813" ht="32.4" customHeight="1"/>
    <row r="2814" ht="138" customHeight="1"/>
    <row r="2815" ht="124.8" customHeight="1"/>
    <row r="2816" ht="32.4" customHeight="1"/>
    <row r="2817" ht="32.4" customHeight="1"/>
    <row r="2818" ht="111.6" customHeight="1"/>
    <row r="2819" ht="151.2" customHeight="1"/>
    <row r="2820" ht="124.8" customHeight="1"/>
    <row r="2821" ht="124.8" customHeight="1"/>
    <row r="2822" ht="32.4" customHeight="1"/>
    <row r="2823" ht="32.4" customHeight="1"/>
    <row r="2824" ht="32.4" customHeight="1"/>
    <row r="2825" ht="32.4" customHeight="1"/>
    <row r="2826" ht="32.4" customHeight="1"/>
    <row r="2827" ht="32.4" customHeight="1"/>
    <row r="2828" ht="124.8" customHeight="1"/>
    <row r="2829" ht="151.2" customHeight="1"/>
    <row r="2830" ht="85.19999999999999" customHeight="1"/>
    <row r="2831" ht="111.6" customHeight="1"/>
    <row r="2832" ht="98.39999999999999" customHeight="1"/>
    <row r="2833" ht="111.6" customHeight="1"/>
    <row r="2834" ht="177.6" customHeight="1"/>
    <row r="2835" ht="111.6" customHeight="1"/>
    <row r="2836" ht="164.4" customHeight="1"/>
    <row r="2837" ht="151.2" customHeight="1"/>
    <row r="2838" ht="32.4" customHeight="1"/>
    <row r="2839" ht="32.4" customHeight="1"/>
    <row r="2840" ht="98.39999999999999" customHeight="1"/>
    <row r="2841" ht="32.4" customHeight="1"/>
    <row r="2842" ht="124.8" customHeight="1"/>
    <row r="2843" ht="72" customHeight="1"/>
    <row r="2844" ht="124.8" customHeight="1"/>
    <row r="2845" ht="164.4" customHeight="1"/>
    <row r="2846" ht="85.19999999999999" customHeight="1"/>
    <row r="2847" ht="98.39999999999999" customHeight="1"/>
    <row r="2848" ht="32.4" customHeight="1"/>
    <row r="2849" ht="124.8" customHeight="1"/>
    <row r="2850" ht="111.6" customHeight="1"/>
    <row r="2851" ht="151.2" customHeight="1"/>
    <row r="2852" ht="151.2" customHeight="1"/>
    <row r="2853" ht="111.6" customHeight="1"/>
    <row r="2854" ht="45.59999999999999" customHeight="1"/>
    <row r="2855" ht="58.8" customHeight="1"/>
    <row r="2856" ht="124.8" customHeight="1"/>
    <row r="2857" ht="138" customHeight="1"/>
    <row r="2858" ht="98.39999999999999" customHeight="1"/>
    <row r="2859" ht="111.6" customHeight="1"/>
    <row r="2860" ht="111.6" customHeight="1"/>
    <row r="2861" ht="111.6" customHeight="1"/>
    <row r="2862" ht="111.6" customHeight="1"/>
    <row r="2863" ht="177.6" customHeight="1"/>
    <row r="2864" ht="32.4" customHeight="1"/>
    <row r="2865" ht="138" customHeight="1"/>
    <row r="2866" ht="72" customHeight="1"/>
    <row r="2867" ht="270" customHeight="1"/>
    <row r="2868" ht="98.39999999999999" customHeight="1"/>
    <row r="2869" ht="138" customHeight="1"/>
    <row r="2870" ht="151.2" customHeight="1"/>
    <row r="2871" ht="98.39999999999999" customHeight="1"/>
    <row r="2872" ht="111.6" customHeight="1"/>
    <row r="2873" ht="164.4" customHeight="1"/>
    <row r="2874" ht="98.39999999999999" customHeight="1"/>
    <row r="2875" ht="85.19999999999999" customHeight="1"/>
    <row r="2876" ht="85.19999999999999" customHeight="1"/>
    <row r="2877" ht="72" customHeight="1"/>
    <row r="2878" ht="111.6" customHeight="1"/>
    <row r="2879" ht="98.39999999999999" customHeight="1"/>
    <row r="2880" ht="98.39999999999999" customHeight="1"/>
    <row r="2881" ht="124.8" customHeight="1"/>
    <row r="2882" ht="45.59999999999999" customHeight="1"/>
    <row r="2883" ht="45.59999999999999" customHeight="1"/>
    <row r="2884" ht="190.8" customHeight="1"/>
    <row r="2885" ht="85.19999999999999" customHeight="1"/>
    <row r="2886" ht="85.19999999999999" customHeight="1"/>
    <row r="2887" ht="58.8" customHeight="1"/>
    <row r="2888" ht="138" customHeight="1"/>
    <row r="2889" ht="111.6" customHeight="1"/>
    <row r="2890" ht="72" customHeight="1"/>
    <row r="2891" ht="98.39999999999999" customHeight="1"/>
    <row r="2892" ht="85.19999999999999" customHeight="1"/>
    <row r="2893" ht="98.39999999999999" customHeight="1"/>
    <row r="2894" ht="45.59999999999999" customHeight="1"/>
    <row r="2895" ht="98.39999999999999" customHeight="1"/>
    <row r="2896" ht="58.8" customHeight="1"/>
    <row r="2897" ht="72" customHeight="1"/>
    <row r="2898" ht="151.2" customHeight="1"/>
    <row r="2899" ht="72" customHeight="1"/>
    <row r="2900" ht="72" customHeight="1"/>
    <row r="2901" ht="98.39999999999999" customHeight="1"/>
    <row r="2902" ht="98.39999999999999" customHeight="1"/>
    <row r="2903" ht="111.6" customHeight="1"/>
    <row r="2904" ht="72" customHeight="1"/>
    <row r="2905" ht="72" customHeight="1"/>
    <row r="2906" ht="72" customHeight="1"/>
    <row r="2907" ht="45.59999999999999" customHeight="1"/>
    <row r="2908" ht="124.8" customHeight="1"/>
    <row r="2909" ht="72" customHeight="1"/>
    <row r="2910" ht="124.8" customHeight="1"/>
    <row r="2911" ht="177.6" customHeight="1"/>
    <row r="2912" ht="98.39999999999999" customHeight="1"/>
    <row r="2913" ht="45.59999999999999" customHeight="1"/>
    <row r="2914" ht="190.8" customHeight="1"/>
    <row r="2915" ht="45.59999999999999" customHeight="1"/>
    <row r="2916" ht="32.4" customHeight="1"/>
    <row r="2917" ht="85.19999999999999" customHeight="1"/>
    <row r="2918" ht="138" customHeight="1"/>
    <row r="2919" ht="85.19999999999999" customHeight="1"/>
    <row r="2920" ht="124.8" customHeight="1"/>
    <row r="2921" ht="111.6" customHeight="1"/>
    <row r="2922" ht="72" customHeight="1"/>
    <row r="2923" ht="72" customHeight="1"/>
    <row r="2924" ht="58.8" customHeight="1"/>
    <row r="2925" ht="58.8" customHeight="1"/>
    <row r="2926" ht="45.59999999999999" customHeight="1"/>
    <row r="2927" ht="85.19999999999999" customHeight="1"/>
    <row r="2928" ht="111.6" customHeight="1"/>
    <row r="2929" ht="72" customHeight="1"/>
    <row r="2930" ht="72" customHeight="1"/>
    <row r="2931" ht="72" customHeight="1"/>
    <row r="2932" ht="85.19999999999999" customHeight="1"/>
    <row r="2933" ht="85.19999999999999" customHeight="1"/>
    <row r="2934" ht="111.6" customHeight="1"/>
    <row r="2935" ht="217.2" customHeight="1"/>
    <row r="2936" ht="98.39999999999999" customHeight="1"/>
    <row r="2937" ht="124.8" customHeight="1"/>
    <row r="2938" ht="58.8" customHeight="1"/>
    <row r="2939" ht="111.6" customHeight="1"/>
    <row r="2940" ht="85.19999999999999" customHeight="1"/>
    <row r="2941" ht="98.39999999999999" customHeight="1"/>
    <row r="2942" ht="85.19999999999999" customHeight="1"/>
    <row r="2943" ht="58.8" customHeight="1"/>
    <row r="2944" ht="98.39999999999999" customHeight="1"/>
    <row r="2945" ht="58.8" customHeight="1"/>
    <row r="2946" ht="111.6" customHeight="1"/>
    <row r="2947" ht="98.39999999999999" customHeight="1"/>
    <row r="2948" ht="98.39999999999999" customHeight="1"/>
    <row r="2949" ht="164.4" customHeight="1"/>
    <row r="2950" ht="124.8" customHeight="1"/>
    <row r="2951" ht="124.8" customHeight="1"/>
    <row r="2952" ht="124.8" customHeight="1"/>
    <row r="2953" ht="72" customHeight="1"/>
    <row r="2954" ht="111.6" customHeight="1"/>
    <row r="2955" ht="58.8" customHeight="1"/>
    <row r="2956" ht="111.6" customHeight="1"/>
    <row r="2957" ht="124.8" customHeight="1"/>
    <row r="2958" ht="98.39999999999999" customHeight="1"/>
    <row r="2959" ht="85.19999999999999" customHeight="1"/>
    <row r="2960" ht="98.39999999999999" customHeight="1"/>
    <row r="2961" ht="138" customHeight="1"/>
    <row r="2962" ht="45.59999999999999" customHeight="1"/>
    <row r="2963" ht="45.59999999999999" customHeight="1"/>
    <row r="2964" ht="72" customHeight="1"/>
    <row r="2965" ht="72" customHeight="1"/>
    <row r="2966" ht="58.8" customHeight="1"/>
    <row r="2967" ht="32.4" customHeight="1"/>
    <row r="2968" ht="58.8" customHeight="1"/>
    <row r="2969" ht="98.39999999999999" customHeight="1"/>
    <row r="2970" ht="124.8" customHeight="1"/>
    <row r="2971" ht="190.8" customHeight="1"/>
    <row r="2972" ht="124.8" customHeight="1"/>
    <row r="2973" ht="111.6" customHeight="1"/>
    <row r="2974" ht="58.8" customHeight="1"/>
    <row r="2975" ht="124.8" customHeight="1"/>
    <row r="2976" ht="58.8" customHeight="1"/>
    <row r="2977" ht="98.39999999999999" customHeight="1"/>
    <row r="2978" ht="72" customHeight="1"/>
    <row r="2979" ht="151.2" customHeight="1"/>
    <row r="2980" ht="98.39999999999999" customHeight="1"/>
    <row r="2981" ht="124.8" customHeight="1"/>
    <row r="2982" ht="111.6" customHeight="1"/>
    <row r="2983" ht="124.8" customHeight="1"/>
    <row r="2984" ht="98.39999999999999" customHeight="1"/>
    <row r="2985" ht="111.6" customHeight="1"/>
    <row r="2986" ht="124.8" customHeight="1"/>
    <row r="2987" ht="85.19999999999999" customHeight="1"/>
    <row r="2988" ht="72" customHeight="1"/>
    <row r="2989" ht="98.39999999999999" customHeight="1"/>
    <row r="2990" ht="72" customHeight="1"/>
    <row r="2991" ht="124.8" customHeight="1"/>
    <row r="2992" ht="58.8" customHeight="1"/>
    <row r="2993" ht="58.8" customHeight="1"/>
    <row r="2994" ht="72" customHeight="1"/>
    <row r="2995" ht="217.2" customHeight="1"/>
    <row r="2996" ht="98.39999999999999" customHeight="1"/>
    <row r="2997" ht="98.39999999999999" customHeight="1"/>
    <row r="2998" ht="124.8" customHeight="1"/>
    <row r="2999" ht="85.19999999999999" customHeight="1"/>
    <row r="3000" ht="45.59999999999999" customHeight="1"/>
    <row r="3001" ht="72" customHeight="1"/>
    <row r="3002" ht="138" customHeight="1"/>
    <row r="3003" ht="111.6" customHeight="1"/>
    <row r="3004" ht="72" customHeight="1"/>
    <row r="3005" ht="45.59999999999999" customHeight="1"/>
    <row r="3006" ht="98.39999999999999" customHeight="1"/>
    <row r="3007" ht="72" customHeight="1"/>
    <row r="3008" ht="204" customHeight="1"/>
    <row r="3009" ht="151.2" customHeight="1"/>
    <row r="3010" ht="98.39999999999999" customHeight="1"/>
    <row r="3011" ht="111.6" customHeight="1"/>
    <row r="3012" ht="98.39999999999999" customHeight="1"/>
    <row r="3013" ht="124.8" customHeight="1"/>
    <row r="3014" ht="138" customHeight="1"/>
    <row r="3015" ht="138" customHeight="1"/>
    <row r="3016" ht="98.39999999999999" customHeight="1"/>
    <row r="3017" ht="151.2" customHeight="1"/>
    <row r="3018" ht="111.6" customHeight="1"/>
    <row r="3019" ht="151.2" customHeight="1"/>
    <row r="3020" ht="98.39999999999999" customHeight="1"/>
    <row r="3021" ht="138" customHeight="1"/>
    <row r="3022" ht="85.19999999999999" customHeight="1"/>
    <row r="3023" ht="98.39999999999999" customHeight="1"/>
    <row r="3024" ht="98.39999999999999" customHeight="1"/>
    <row r="3025" ht="98.39999999999999" customHeight="1"/>
    <row r="3026" ht="98.39999999999999" customHeight="1"/>
    <row r="3027" ht="85.19999999999999" customHeight="1"/>
    <row r="3028" ht="124.8" customHeight="1"/>
    <row r="3029" ht="85.19999999999999" customHeight="1"/>
    <row r="3030" ht="45.59999999999999" customHeight="1"/>
    <row r="3031" ht="72" customHeight="1"/>
    <row r="3032" ht="98.39999999999999" customHeight="1"/>
    <row r="3033" ht="111.6" customHeight="1"/>
    <row r="3034" ht="124.8" customHeight="1"/>
    <row r="3035" ht="190.8" customHeight="1"/>
    <row r="3036" ht="177.6" customHeight="1"/>
    <row r="3037" ht="177.6" customHeight="1"/>
    <row r="3038" ht="190.8" customHeight="1"/>
    <row r="3039" ht="138" customHeight="1"/>
    <row r="3040" ht="138" customHeight="1"/>
    <row r="3041" ht="98.39999999999999" customHeight="1"/>
    <row r="3042" ht="98.39999999999999" customHeight="1"/>
    <row r="3043" ht="72" customHeight="1"/>
    <row r="3044" ht="72" customHeight="1"/>
    <row r="3045" ht="138" customHeight="1"/>
    <row r="3046" ht="111.6" customHeight="1"/>
    <row r="3047" ht="138" customHeight="1"/>
    <row r="3048" ht="111.6" customHeight="1"/>
    <row r="3049" ht="151.2" customHeight="1"/>
    <row r="3050" ht="98.39999999999999" customHeight="1"/>
    <row r="3051" ht="190.8" customHeight="1"/>
    <row r="3052" ht="124.8" customHeight="1"/>
    <row r="3053" ht="85.19999999999999" customHeight="1"/>
    <row r="3054" ht="85.19999999999999" customHeight="1"/>
    <row r="3055" ht="111.6" customHeight="1"/>
    <row r="3056" ht="124.8" customHeight="1"/>
    <row r="3057" ht="98.39999999999999" customHeight="1"/>
    <row r="3058" ht="85.19999999999999" customHeight="1"/>
    <row r="3059" ht="138" customHeight="1"/>
    <row r="3060" ht="85.19999999999999" customHeight="1"/>
    <row r="3061" ht="85.19999999999999" customHeight="1"/>
    <row r="3062" ht="58.8" customHeight="1"/>
    <row r="3063" ht="72" customHeight="1"/>
    <row r="3064" ht="85.19999999999999" customHeight="1"/>
    <row r="3065" ht="72" customHeight="1"/>
    <row r="3066" ht="124.8" customHeight="1"/>
    <row r="3067" ht="124.8" customHeight="1"/>
    <row r="3068" ht="111.6" customHeight="1"/>
    <row r="3069" ht="151.2" customHeight="1"/>
    <row r="3070" ht="124.8" customHeight="1"/>
    <row r="3071" ht="85.19999999999999" customHeight="1"/>
    <row r="3072" ht="58.8" customHeight="1"/>
    <row r="3073" ht="98.39999999999999" customHeight="1"/>
    <row r="3074" ht="190.8" customHeight="1"/>
    <row r="3075" ht="111.6" customHeight="1"/>
    <row r="3076" ht="138" customHeight="1"/>
    <row r="3077" ht="85.19999999999999" customHeight="1"/>
    <row r="3078" ht="164.4" customHeight="1"/>
    <row r="3079" ht="111.6" customHeight="1"/>
    <row r="3080" ht="124.8" customHeight="1"/>
    <row r="3081" ht="151.2" customHeight="1"/>
    <row r="3082" ht="138" customHeight="1"/>
    <row r="3083" ht="85.19999999999999" customHeight="1"/>
    <row r="3084" ht="124.8" customHeight="1"/>
    <row r="3085" ht="151.2" customHeight="1"/>
    <row r="3086" ht="72" customHeight="1"/>
    <row r="3087" ht="45.59999999999999" customHeight="1"/>
    <row r="3088" ht="85.19999999999999" customHeight="1"/>
    <row r="3089" ht="98.39999999999999" customHeight="1"/>
    <row r="3090" ht="58.8" customHeight="1"/>
    <row r="3091" ht="72" customHeight="1"/>
    <row r="3092" ht="58.8" customHeight="1"/>
    <row r="3093" ht="72" customHeight="1"/>
    <row r="3094" ht="111.6" customHeight="1"/>
    <row r="3095" ht="58.8" customHeight="1"/>
    <row r="3096" ht="124.8" customHeight="1"/>
    <row r="3097" ht="72" customHeight="1"/>
    <row r="3098" ht="72" customHeight="1"/>
    <row r="3099" ht="45.59999999999999" customHeight="1"/>
    <row r="3100" ht="98.39999999999999" customHeight="1"/>
    <row r="3101" ht="58.8" customHeight="1"/>
    <row r="3102" ht="58.8" customHeight="1"/>
    <row r="3103" ht="45.59999999999999" customHeight="1"/>
    <row r="3104" ht="45.59999999999999" customHeight="1"/>
    <row r="3105" ht="72" customHeight="1"/>
    <row r="3106" ht="72" customHeight="1"/>
    <row r="3107" ht="72" customHeight="1"/>
    <row r="3108" ht="138" customHeight="1"/>
    <row r="3109" ht="124.8" customHeight="1"/>
    <row r="3110" ht="164.4" customHeight="1"/>
    <row r="3111" ht="111.6" customHeight="1"/>
    <row r="3112" ht="85.19999999999999" customHeight="1"/>
    <row r="3113" ht="124.8" customHeight="1"/>
    <row r="3114" ht="85.19999999999999" customHeight="1"/>
    <row r="3115" ht="72" customHeight="1"/>
    <row r="3116" ht="72" customHeight="1"/>
    <row r="3117" ht="85.19999999999999" customHeight="1"/>
    <row r="3118" ht="58.8" customHeight="1"/>
    <row r="3119" ht="111.6" customHeight="1"/>
    <row r="3120" ht="138" customHeight="1"/>
    <row r="3121" ht="72" customHeight="1"/>
    <row r="3122" ht="124.8" customHeight="1"/>
    <row r="3123" ht="72" customHeight="1"/>
    <row r="3124" ht="85.19999999999999" customHeight="1"/>
    <row r="3125" ht="111.6" customHeight="1"/>
    <row r="3126" ht="72" customHeight="1"/>
    <row r="3127" ht="85.19999999999999" customHeight="1"/>
    <row r="3128" ht="98.39999999999999" customHeight="1"/>
    <row r="3129" ht="151.2" customHeight="1"/>
    <row r="3130" ht="98.39999999999999" customHeight="1"/>
    <row r="3131" ht="58.8" customHeight="1"/>
    <row r="3132" ht="124.8" customHeight="1"/>
    <row r="3133" ht="190.8" customHeight="1"/>
    <row r="3134" ht="124.8" customHeight="1"/>
    <row r="3135" ht="72" customHeight="1"/>
    <row r="3136" ht="72" customHeight="1"/>
    <row r="3137" ht="138" customHeight="1"/>
    <row r="3138" ht="98.39999999999999" customHeight="1"/>
    <row r="3139" ht="85.19999999999999" customHeight="1"/>
    <row r="3140" ht="138" customHeight="1"/>
    <row r="3141" ht="138" customHeight="1"/>
    <row r="3142" ht="138" customHeight="1"/>
    <row r="3143" ht="98.39999999999999" customHeight="1"/>
    <row r="3144" ht="72" customHeight="1"/>
    <row r="3145" ht="124.8" customHeight="1"/>
    <row r="3146" ht="124.8" customHeight="1"/>
    <row r="3147" ht="177.6" customHeight="1"/>
    <row r="3148" ht="164.4" customHeight="1"/>
    <row r="3149" ht="72" customHeight="1"/>
    <row r="3150" ht="72" customHeight="1"/>
    <row r="3151" ht="32.4" customHeight="1"/>
    <row r="3152" ht="164.4" customHeight="1"/>
    <row r="3153" ht="243.6" customHeight="1"/>
    <row r="3154" ht="151.2" customHeight="1"/>
    <row r="3155" ht="111.6" customHeight="1"/>
    <row r="3156" ht="85.19999999999999" customHeight="1"/>
    <row r="3157" ht="85.19999999999999" customHeight="1"/>
    <row r="3158" ht="151.2" customHeight="1"/>
    <row r="3159" ht="32.4" customHeight="1"/>
    <row r="3160" ht="98.39999999999999" customHeight="1"/>
    <row r="3161" ht="111.6" customHeight="1"/>
    <row r="3162" ht="85.19999999999999" customHeight="1"/>
    <row r="3163" ht="45.59999999999999" customHeight="1"/>
    <row r="3164" ht="58.8" customHeight="1"/>
    <row r="3165" ht="45.59999999999999" customHeight="1"/>
    <row r="3166" ht="58.8" customHeight="1"/>
    <row r="3167" ht="72" customHeight="1"/>
    <row r="3168" ht="138" customHeight="1"/>
    <row r="3169" ht="151.2" customHeight="1"/>
    <row r="3170" ht="45.59999999999999" customHeight="1"/>
    <row r="3171" ht="151.2" customHeight="1"/>
    <row r="3172" ht="217.2" customHeight="1"/>
    <row r="3173" ht="190.8" customHeight="1"/>
    <row r="3174" ht="190.8" customHeight="1"/>
    <row r="3175" ht="177.6" customHeight="1"/>
    <row r="3176" ht="177.6" customHeight="1"/>
    <row r="3177" ht="151.2" customHeight="1"/>
    <row r="3178" ht="177.6" customHeight="1"/>
    <row r="3179" ht="204" customHeight="1"/>
    <row r="3180" ht="151.2" customHeight="1"/>
    <row r="3181" ht="230.4" customHeight="1"/>
    <row r="3182" ht="85.19999999999999" customHeight="1"/>
    <row r="3183" ht="58.8" customHeight="1"/>
    <row r="3184" ht="230.4" customHeight="1"/>
    <row r="3185" ht="138" customHeight="1"/>
    <row r="3186" ht="85.19999999999999" customHeight="1"/>
    <row r="3187" ht="111.6" customHeight="1"/>
    <row r="3188" ht="164.4" customHeight="1"/>
    <row r="3189" ht="72" customHeight="1"/>
    <row r="3190" ht="58.8" customHeight="1"/>
    <row r="3191" ht="45.59999999999999" customHeight="1"/>
    <row r="3192" ht="124.8" customHeight="1"/>
    <row r="3193" ht="138" customHeight="1"/>
    <row r="3194" ht="138" customHeight="1"/>
    <row r="3195" ht="177.6" customHeight="1"/>
    <row r="3196" ht="243.6" customHeight="1"/>
    <row r="3197" ht="85.19999999999999" customHeight="1"/>
    <row r="3198" ht="72" customHeight="1"/>
    <row r="3199" ht="85.19999999999999" customHeight="1"/>
    <row r="3200" ht="45.59999999999999" customHeight="1"/>
    <row r="3201" ht="85.19999999999999" customHeight="1"/>
    <row r="3202" ht="45.59999999999999" customHeight="1"/>
    <row r="3203" ht="58.8" customHeight="1"/>
    <row r="3204" ht="72" customHeight="1"/>
    <row r="3205" ht="58.8" customHeight="1"/>
    <row r="3206" ht="45.59999999999999" customHeight="1"/>
    <row r="3207" ht="58.8" customHeight="1"/>
    <row r="3208" ht="58.8" customHeight="1"/>
    <row r="3209" ht="58.8" customHeight="1"/>
    <row r="3210" ht="58.8" customHeight="1"/>
    <row r="3211" ht="72" customHeight="1"/>
    <row r="3212" ht="58.8" customHeight="1"/>
    <row r="3213" ht="72" customHeight="1"/>
    <row r="3214" ht="58.8" customHeight="1"/>
    <row r="3215" ht="58.8" customHeight="1"/>
    <row r="3216" ht="45.59999999999999" customHeight="1"/>
    <row r="3217" ht="32.4" customHeight="1"/>
    <row r="3218" ht="45.59999999999999" customHeight="1"/>
    <row r="3219" ht="58.8" customHeight="1"/>
    <row r="3220" ht="45.59999999999999" customHeight="1"/>
    <row r="3221" ht="45.59999999999999" customHeight="1"/>
    <row r="3222" ht="58.8" customHeight="1"/>
    <row r="3223" ht="72" customHeight="1"/>
    <row r="3224" ht="45.59999999999999" customHeight="1"/>
    <row r="3225" ht="45.59999999999999" customHeight="1"/>
    <row r="3226" ht="45.59999999999999" customHeight="1"/>
    <row r="3227" ht="45.59999999999999" customHeight="1"/>
    <row r="3228" ht="58.8" customHeight="1"/>
    <row r="3229" ht="58.8" customHeight="1"/>
    <row r="3230" ht="58.8" customHeight="1"/>
    <row r="3231" ht="58.8" customHeight="1"/>
    <row r="3232" ht="58.8" customHeight="1"/>
    <row r="3233" ht="72" customHeight="1"/>
    <row r="3234" ht="72" customHeight="1"/>
    <row r="3235" ht="72" customHeight="1"/>
    <row r="3236" ht="72" customHeight="1"/>
    <row r="3237" ht="58.8" customHeight="1"/>
    <row r="3238" ht="45.59999999999999" customHeight="1"/>
    <row r="3239" ht="32.4" customHeight="1"/>
    <row r="3240" ht="164.4" customHeight="1"/>
    <row r="3241" ht="177.6" customHeight="1"/>
    <row r="3242" ht="177.6" customHeight="1"/>
    <row r="3243" ht="151.2" customHeight="1"/>
    <row r="3244" ht="45.59999999999999" customHeight="1"/>
    <row r="3245" ht="111.6" customHeight="1"/>
    <row r="3246" ht="177.6" customHeight="1"/>
    <row r="3247" ht="151.2" customHeight="1"/>
    <row r="3248" ht="151.2" customHeight="1"/>
    <row r="3249" ht="124.8" customHeight="1"/>
    <row r="3250" ht="45.59999999999999" customHeight="1"/>
    <row r="3251" ht="204" customHeight="1"/>
    <row r="3252" ht="124.8" customHeight="1"/>
    <row r="3253" ht="111.6" customHeight="1"/>
    <row r="3254" ht="85.19999999999999" customHeight="1"/>
    <row r="3255" ht="124.8" customHeight="1"/>
    <row r="3256" ht="32.4" customHeight="1"/>
    <row r="3257" ht="45.59999999999999" customHeight="1"/>
    <row r="3258" ht="85.19999999999999" customHeight="1"/>
    <row r="3259" ht="45.59999999999999" customHeight="1"/>
    <row r="3260" ht="32.4" customHeight="1"/>
    <row r="3261" ht="45.59999999999999" customHeight="1"/>
    <row r="3262" ht="58.8" customHeight="1"/>
    <row r="3263" ht="45.59999999999999" customHeight="1"/>
    <row r="3264" ht="58.8" customHeight="1"/>
    <row r="3265" ht="72" customHeight="1"/>
    <row r="3266" ht="58.8" customHeight="1"/>
    <row r="3267" ht="32.4" customHeight="1"/>
    <row r="3268" ht="138" customHeight="1"/>
    <row r="3269" ht="72" customHeight="1"/>
    <row r="3270" ht="98.39999999999999" customHeight="1"/>
    <row r="3271" ht="98.39999999999999" customHeight="1"/>
    <row r="3272" ht="98.39999999999999" customHeight="1"/>
    <row r="3273" ht="72" customHeight="1"/>
    <row r="3274" ht="138" customHeight="1"/>
    <row r="3275" ht="45.59999999999999" customHeight="1"/>
    <row r="3276" ht="85.19999999999999" customHeight="1"/>
    <row r="3277" ht="32.4" customHeight="1"/>
    <row r="3278" ht="85.19999999999999" customHeight="1"/>
    <row r="3279" ht="98.39999999999999" customHeight="1"/>
    <row r="3280" ht="45.59999999999999" customHeight="1"/>
    <row r="3281" ht="138" customHeight="1"/>
    <row r="3282" ht="138" customHeight="1"/>
    <row r="3283" ht="72" customHeight="1"/>
    <row r="3284" ht="138" customHeight="1"/>
    <row r="3285" ht="32.4" customHeight="1"/>
    <row r="3286" ht="72" customHeight="1"/>
    <row r="3287" ht="124.8" customHeight="1"/>
    <row r="3288" ht="72" customHeight="1"/>
    <row r="3289" ht="124.8" customHeight="1"/>
    <row r="3290" ht="124.8" customHeight="1"/>
    <row r="3291" ht="124.8" customHeight="1"/>
    <row r="3292" ht="85.19999999999999" customHeight="1"/>
    <row r="3293" ht="98.39999999999999" customHeight="1"/>
    <row r="3294" ht="190.8" customHeight="1"/>
    <row r="3295" ht="85.19999999999999" customHeight="1"/>
    <row r="3296" ht="151.2" customHeight="1"/>
    <row r="3297" ht="98.39999999999999" customHeight="1"/>
    <row r="3298" ht="72" customHeight="1"/>
    <row r="3299" ht="111.6" customHeight="1"/>
    <row r="3300" ht="85.19999999999999" customHeight="1"/>
    <row r="3301" ht="151.2" customHeight="1"/>
    <row r="3302" ht="72" customHeight="1"/>
    <row r="3303" ht="72" customHeight="1"/>
    <row r="3304" ht="111.6" customHeight="1"/>
    <row r="3305" ht="98.39999999999999" customHeight="1"/>
    <row r="3306" ht="32.4" customHeight="1"/>
    <row r="3307" ht="58.8" customHeight="1"/>
    <row r="3308" ht="58.8" customHeight="1"/>
    <row r="3309" ht="45.59999999999999" customHeight="1"/>
    <row r="3310" ht="124.8" customHeight="1"/>
    <row r="3311" ht="98.39999999999999" customHeight="1"/>
    <row r="3312" ht="124.8" customHeight="1"/>
    <row r="3313" ht="98.39999999999999" customHeight="1"/>
    <row r="3314" ht="98.39999999999999" customHeight="1"/>
    <row r="3315" ht="32.4" customHeight="1"/>
    <row r="3316" ht="98.39999999999999" customHeight="1"/>
    <row r="3317" ht="111.6" customHeight="1"/>
    <row r="3318" ht="124.8" customHeight="1"/>
    <row r="3319" ht="85.19999999999999" customHeight="1"/>
    <row r="3320" ht="111.6" customHeight="1"/>
    <row r="3321" ht="151.2" customHeight="1"/>
    <row r="3322" ht="111.6" customHeight="1"/>
    <row r="3323" ht="85.19999999999999" customHeight="1"/>
    <row r="3324" ht="98.39999999999999" customHeight="1"/>
    <row r="3325" ht="72" customHeight="1"/>
    <row r="3326" ht="85.19999999999999" customHeight="1"/>
    <row r="3327" ht="164.4" customHeight="1"/>
    <row r="3328" ht="151.2" customHeight="1"/>
    <row r="3329" ht="32.4" customHeight="1"/>
    <row r="3330" ht="98.39999999999999" customHeight="1"/>
    <row r="3331" ht="72" customHeight="1"/>
    <row r="3332" ht="32.4" customHeight="1"/>
    <row r="3333" ht="85.19999999999999" customHeight="1"/>
    <row r="3334" ht="72" customHeight="1"/>
    <row r="3335" ht="72" customHeight="1"/>
    <row r="3336" ht="111.6" customHeight="1"/>
    <row r="3337" ht="85.19999999999999" customHeight="1"/>
    <row r="3338" ht="58.8" customHeight="1"/>
    <row r="3339" ht="58.8" customHeight="1"/>
    <row r="3340" ht="72" customHeight="1"/>
    <row r="3341" ht="85.19999999999999" customHeight="1"/>
    <row r="3342" ht="98.39999999999999" customHeight="1"/>
    <row r="3343" ht="124.8" customHeight="1"/>
    <row r="3344" ht="45.59999999999999" customHeight="1"/>
    <row r="3345" ht="72" customHeight="1"/>
    <row r="3346" ht="72" customHeight="1"/>
    <row r="3347" ht="58.8" customHeight="1"/>
    <row r="3348" ht="164.4" customHeight="1"/>
    <row r="3349" ht="85.19999999999999" customHeight="1"/>
    <row r="3350" ht="85.19999999999999" customHeight="1"/>
    <row r="3351" ht="72" customHeight="1"/>
    <row r="3352" ht="85.19999999999999" customHeight="1"/>
    <row r="3353" ht="98.39999999999999" customHeight="1"/>
    <row r="3354" ht="124.8" customHeight="1"/>
    <row r="3355" ht="32.4" customHeight="1"/>
    <row r="3356" ht="72" customHeight="1"/>
    <row r="3357" ht="58.8" customHeight="1"/>
    <row r="3358" ht="45.59999999999999" customHeight="1"/>
    <row r="3359" ht="32.4" customHeight="1"/>
    <row r="3360" ht="72" customHeight="1"/>
    <row r="3361" ht="85.19999999999999" customHeight="1"/>
    <row r="3362" ht="58.8" customHeight="1"/>
    <row r="3363" ht="32.4" customHeight="1"/>
    <row r="3364" ht="151.2" customHeight="1"/>
    <row r="3365" ht="32.4" customHeight="1"/>
    <row r="3366" ht="32.4" customHeight="1"/>
    <row r="3367" ht="45.59999999999999" customHeight="1"/>
    <row r="3368" ht="98.39999999999999" customHeight="1"/>
    <row r="3369" ht="138" customHeight="1"/>
    <row r="3370" ht="32.4" customHeight="1"/>
    <row r="3371" ht="72" customHeight="1"/>
    <row r="3372" ht="177.6" customHeight="1"/>
    <row r="3373" ht="45.59999999999999" customHeight="1"/>
    <row r="3374" ht="85.19999999999999" customHeight="1"/>
    <row r="3375" ht="124.8" customHeight="1"/>
    <row r="3376" ht="85.19999999999999" customHeight="1"/>
    <row r="3377" ht="85.19999999999999" customHeight="1"/>
    <row r="3378" ht="85.19999999999999" customHeight="1"/>
    <row r="3379" ht="45.59999999999999" customHeight="1"/>
    <row r="3380" ht="85.19999999999999" customHeight="1"/>
    <row r="3381" ht="32.4" customHeight="1"/>
    <row r="3382" ht="190.8" customHeight="1"/>
    <row r="3383" ht="32.4" customHeight="1"/>
    <row r="3384" ht="85.19999999999999" customHeight="1"/>
    <row r="3385" ht="58.8" customHeight="1"/>
    <row r="3386" ht="98.39999999999999" customHeight="1"/>
    <row r="3387" ht="45.59999999999999" customHeight="1"/>
    <row r="3388" ht="138" customHeight="1"/>
    <row r="3389" ht="45.59999999999999" customHeight="1"/>
    <row r="3390" ht="32.4" customHeight="1"/>
    <row r="3391" ht="98.39999999999999" customHeight="1"/>
    <row r="3392" ht="98.39999999999999" customHeight="1"/>
    <row r="3393" ht="45.59999999999999" customHeight="1"/>
    <row r="3394" ht="45.59999999999999" customHeight="1"/>
    <row r="3395" ht="72" customHeight="1"/>
    <row r="3396" ht="85.19999999999999" customHeight="1"/>
    <row r="3397" ht="138" customHeight="1"/>
    <row r="3398" ht="124.8" customHeight="1"/>
    <row r="3399" ht="124.8" customHeight="1"/>
    <row r="3400" ht="151.2" customHeight="1"/>
    <row r="3401" ht="45.59999999999999" customHeight="1"/>
    <row r="3402" ht="32.4" customHeight="1"/>
    <row r="3403" ht="58.8" customHeight="1"/>
    <row r="3404" ht="45.59999999999999" customHeight="1"/>
    <row r="3405" ht="98.39999999999999" customHeight="1"/>
    <row r="3406" ht="32.4" customHeight="1"/>
    <row r="3407" ht="98.39999999999999" customHeight="1"/>
    <row r="3408" ht="32.4" customHeight="1"/>
    <row r="3409" ht="85.19999999999999" customHeight="1"/>
    <row r="3410" ht="58.8" customHeight="1"/>
    <row r="3411" ht="45.59999999999999" customHeight="1"/>
    <row r="3412" ht="45.59999999999999" customHeight="1"/>
    <row r="3413" ht="58.8" customHeight="1"/>
    <row r="3414" ht="32.4" customHeight="1"/>
    <row r="3415" ht="98.39999999999999" customHeight="1"/>
    <row r="3416" ht="45.59999999999999" customHeight="1"/>
    <row r="3417" ht="72" customHeight="1"/>
    <row r="3418" ht="58.8" customHeight="1"/>
    <row r="3419" ht="124.8" customHeight="1"/>
    <row r="3420" ht="138" customHeight="1"/>
    <row r="3421" ht="111.6" customHeight="1"/>
    <row r="3422" ht="72" customHeight="1"/>
    <row r="3423" ht="45.59999999999999" customHeight="1"/>
    <row r="3424" ht="124.8" customHeight="1"/>
    <row r="3425" ht="32.4" customHeight="1"/>
    <row r="3426" ht="58.8" customHeight="1"/>
    <row r="3427" ht="72" customHeight="1"/>
    <row r="3428" ht="32.4" customHeight="1"/>
    <row r="3429" ht="72" customHeight="1"/>
    <row r="3430" ht="72" customHeight="1"/>
    <row r="3431" ht="85.19999999999999" customHeight="1"/>
    <row r="3432" ht="32.4" customHeight="1"/>
    <row r="3433" ht="111.6" customHeight="1"/>
    <row r="3434" ht="138" customHeight="1"/>
    <row r="3435" ht="98.39999999999999" customHeight="1"/>
    <row r="3436" ht="98.39999999999999" customHeight="1"/>
    <row r="3437" ht="98.39999999999999" customHeight="1"/>
    <row r="3438" ht="85.19999999999999" customHeight="1"/>
    <row r="3439" ht="85.19999999999999" customHeight="1"/>
    <row r="3440" ht="111.6" customHeight="1"/>
    <row r="3441" ht="85.19999999999999" customHeight="1"/>
    <row r="3442" ht="58.8" customHeight="1"/>
    <row r="3443" ht="111.6" customHeight="1"/>
    <row r="3444" ht="124.8" customHeight="1"/>
    <row r="3445" ht="98.39999999999999" customHeight="1"/>
    <row r="3446" ht="45.59999999999999" customHeight="1"/>
    <row r="3447" ht="32.4" customHeight="1"/>
    <row r="3448" ht="45.59999999999999" customHeight="1"/>
    <row r="3449" ht="32.4" customHeight="1"/>
    <row r="3450" ht="45.59999999999999" customHeight="1"/>
    <row r="3451" ht="138" customHeight="1"/>
    <row r="3452" ht="58.8" customHeight="1"/>
  </sheetData>
  <autoFilter ref="A2:AI202"/>
  <mergeCells count="6">
    <mergeCell ref="A1:D1"/>
    <mergeCell ref="U1:X1"/>
    <mergeCell ref="K1:O1"/>
    <mergeCell ref="P1:T1"/>
    <mergeCell ref="F1:J1"/>
    <mergeCell ref="Z1:AI1"/>
  </mergeCells>
  <conditionalFormatting sqref="K3:K202">
    <cfRule type="expression" priority="1" dxfId="0">
      <formula>AND($F3&lt;&gt;"",$F3&amp;""&lt;&gt;"0",TRIM(K3)="")</formula>
    </cfRule>
  </conditionalFormatting>
  <conditionalFormatting sqref="L3:L202">
    <cfRule type="expression" priority="2" dxfId="0">
      <formula>AND($G3&lt;&gt;"",$G3&amp;""&lt;&gt;"0",TRIM(L3)="")</formula>
    </cfRule>
  </conditionalFormatting>
  <conditionalFormatting sqref="M3:M202">
    <cfRule type="expression" priority="3" dxfId="0">
      <formula>AND($H3&lt;&gt;"",$H3&amp;""&lt;&gt;"0",TRIM(M3)="")</formula>
    </cfRule>
  </conditionalFormatting>
  <conditionalFormatting sqref="N3:N202">
    <cfRule type="expression" priority="4" dxfId="0">
      <formula>AND($I3&lt;&gt;"",$I3&amp;""&lt;&gt;"0",TRIM(N3)="")</formula>
    </cfRule>
  </conditionalFormatting>
  <conditionalFormatting sqref="O3:O202">
    <cfRule type="expression" priority="5" dxfId="0">
      <formula>AND($J3&lt;&gt;"",$J3&amp;""&lt;&gt;"0",TRIM(O3)="")</formula>
    </cfRule>
  </conditionalFormatting>
  <conditionalFormatting sqref="Y3:Y202">
    <cfRule type="expression" priority="6" dxfId="1">
      <formula>Y3="Complete"</formula>
    </cfRule>
    <cfRule type="expression" priority="7" dxfId="0">
      <formula>Y3="Add evidence"</formula>
    </cfRule>
    <cfRule type="expression" priority="8" dxfId="2">
      <formula>Y3="Incomplete"</formula>
    </cfRule>
  </conditionalFormatting>
  <dataValidations count="7">
    <dataValidation sqref="E3:E202" showDropDown="0" showInputMessage="1" showErrorMessage="1" allowBlank="1" errorTitle="Invalid answer" error="Choose from the list: Yes / Partly / No" promptTitle="Q1" prompt="Yes / Partly / No" type="list">
      <formula1>Lists!$A$1:$A$3</formula1>
    </dataValidation>
    <dataValidation sqref="F3:F202 G3:G202 H3:H202 I3:I202 J3:J202" showDropDown="0" showInputMessage="1" showErrorMessage="1" allowBlank="1" errorTitle="Invalid answer" error="Choose from the list: 0 none · 1 incidental · 2 regular basic · 3 regular advanced · 4 core" promptTitle="Score 0–4" prompt="0 none · 1 incidental · 2 regular basic · 3 regular advanced · 4 core" type="list">
      <formula1>Lists!$B$1:$B$5</formula1>
    </dataValidation>
    <dataValidation sqref="P3:P202 Q3:Q202 R3:R202 S3:S202 T3:T202" showDropDown="0" showInputMessage="1" showErrorMessage="1" allowBlank="1" errorTitle="Invalid answer" error="Choose from the list: 1 low · 2 medium · 3 high" promptTitle="Q8 confidence" prompt="1 low · 2 medium · 3 high" type="list">
      <formula1>Lists!$C$1:$C$3</formula1>
    </dataValidation>
    <dataValidation sqref="U3:U202" showDropDown="0" showInputMessage="1" showErrorMessage="1" allowBlank="1" errorTitle="Invalid answer" error="Choose from the list: 0–10, do not add up Q2–Q6" promptTitle="Q9 overall" prompt="0–10, do not add up Q2–Q6" type="list">
      <formula1>Lists!$D$1:$D$11</formula1>
    </dataValidation>
    <dataValidation sqref="V3:V202" showDropDown="0" showInputMessage="1" showErrorMessage="1" allowBlank="1" errorTitle="Invalid answer" error="Choose from the list: Core / Supporting / Not relevant" promptTitle="Q10" prompt="Core / Supporting / Not relevant" type="list">
      <formula1>Lists!$E$1:$E$3</formula1>
    </dataValidation>
    <dataValidation sqref="W3:W202" showDropDown="0" showInputMessage="1" showErrorMessage="1" allowBlank="1" errorTitle="Invalid answer" error="Choose from the list: More / Same / Less digital than the text" promptTitle="Q11" prompt="More / Same / Less digital than the text" type="list">
      <formula1>Lists!$F$1:$F$3</formula1>
    </dataValidation>
    <dataValidation sqref="K3:O202" showDropDown="0" showInputMessage="0" showErrorMessage="1" allowBlank="1" errorTitle="Evidence" error="Copy the exact words from the description, not a number." type="custom">
      <formula1>ISTEXT(K3)</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H14"/>
  <sheetViews>
    <sheetView showGridLines="0" workbookViewId="0">
      <selection activeCell="A1" sqref="A1"/>
    </sheetView>
  </sheetViews>
  <sheetFormatPr baseColWidth="8" defaultRowHeight="15"/>
  <cols>
    <col width="9" customWidth="1" min="1" max="1"/>
    <col width="46" customWidth="1" min="2" max="2"/>
    <col width="12" customWidth="1" min="3" max="3"/>
    <col width="11" customWidth="1" min="4" max="4"/>
    <col width="12" customWidth="1" min="5" max="5"/>
    <col width="11" customWidth="1" min="6" max="6"/>
    <col width="11" customWidth="1" min="7" max="7"/>
    <col width="11" customWidth="1" min="8" max="8"/>
  </cols>
  <sheetData>
    <row r="1">
      <c r="A1" s="29" t="inlineStr">
        <is>
          <t>Coding progress</t>
        </is>
      </c>
    </row>
    <row r="2">
      <c r="A2" s="2">
        <f>IF(Instructions!$C$6="","Coder ID not entered on Instructions sheet","Coder ID: "&amp;Instructions!$C$6)</f>
        <v/>
      </c>
    </row>
    <row r="3"/>
    <row r="4">
      <c r="A4" s="8" t="inlineStr">
        <is>
          <t>Division</t>
        </is>
      </c>
      <c r="B4" s="8" t="inlineStr">
        <is>
          <t>Title</t>
        </is>
      </c>
      <c r="C4" s="8" t="inlineStr">
        <is>
          <t>Occupations</t>
        </is>
      </c>
      <c r="D4" s="8" t="inlineStr">
        <is>
          <t>Complete</t>
        </is>
      </c>
      <c r="E4" s="8" t="inlineStr">
        <is>
          <t>Add evidence</t>
        </is>
      </c>
      <c r="F4" s="8" t="inlineStr">
        <is>
          <t>Incomplete</t>
        </is>
      </c>
      <c r="G4" s="8" t="inlineStr">
        <is>
          <t>Not started</t>
        </is>
      </c>
      <c r="H4" s="8" t="inlineStr">
        <is>
          <t>% complete</t>
        </is>
      </c>
    </row>
    <row r="5">
      <c r="A5" s="30" t="n">
        <v>1</v>
      </c>
      <c r="B5" s="30" t="inlineStr">
        <is>
          <t>Managers</t>
        </is>
      </c>
      <c r="C5" s="30">
        <f>COUNTIF(Coding!$AD$3:$AD$202,A5)</f>
        <v/>
      </c>
      <c r="D5" s="30">
        <f>COUNTIFS(Coding!$AD$3:$AD$202,A5,Coding!$Y$3:$Y$202,"Complete")</f>
        <v/>
      </c>
      <c r="E5" s="30">
        <f>COUNTIFS(Coding!$AD$3:$AD$202,A5,Coding!$Y$3:$Y$202,"Add evidence")</f>
        <v/>
      </c>
      <c r="F5" s="30">
        <f>COUNTIFS(Coding!$AD$3:$AD$202,A5,Coding!$Y$3:$Y$202,"Incomplete")</f>
        <v/>
      </c>
      <c r="G5" s="30">
        <f>COUNTIFS(Coding!$AD$3:$AD$202,A5,Coding!$Y$3:$Y$202,"Not started")</f>
        <v/>
      </c>
      <c r="H5" s="31">
        <f>IF(C5=0,0,D5/C5)</f>
        <v/>
      </c>
    </row>
    <row r="6">
      <c r="A6" s="30" t="n">
        <v>2</v>
      </c>
      <c r="B6" s="30" t="inlineStr">
        <is>
          <t>Professionals</t>
        </is>
      </c>
      <c r="C6" s="30">
        <f>COUNTIF(Coding!$AD$3:$AD$202,A6)</f>
        <v/>
      </c>
      <c r="D6" s="30">
        <f>COUNTIFS(Coding!$AD$3:$AD$202,A6,Coding!$Y$3:$Y$202,"Complete")</f>
        <v/>
      </c>
      <c r="E6" s="30">
        <f>COUNTIFS(Coding!$AD$3:$AD$202,A6,Coding!$Y$3:$Y$202,"Add evidence")</f>
        <v/>
      </c>
      <c r="F6" s="30">
        <f>COUNTIFS(Coding!$AD$3:$AD$202,A6,Coding!$Y$3:$Y$202,"Incomplete")</f>
        <v/>
      </c>
      <c r="G6" s="30">
        <f>COUNTIFS(Coding!$AD$3:$AD$202,A6,Coding!$Y$3:$Y$202,"Not started")</f>
        <v/>
      </c>
      <c r="H6" s="31">
        <f>IF(C6=0,0,D6/C6)</f>
        <v/>
      </c>
    </row>
    <row r="7">
      <c r="A7" s="30" t="n">
        <v>3</v>
      </c>
      <c r="B7" s="30" t="inlineStr">
        <is>
          <t>Technicians and Associate Professionals</t>
        </is>
      </c>
      <c r="C7" s="30">
        <f>COUNTIF(Coding!$AD$3:$AD$202,A7)</f>
        <v/>
      </c>
      <c r="D7" s="30">
        <f>COUNTIFS(Coding!$AD$3:$AD$202,A7,Coding!$Y$3:$Y$202,"Complete")</f>
        <v/>
      </c>
      <c r="E7" s="30">
        <f>COUNTIFS(Coding!$AD$3:$AD$202,A7,Coding!$Y$3:$Y$202,"Add evidence")</f>
        <v/>
      </c>
      <c r="F7" s="30">
        <f>COUNTIFS(Coding!$AD$3:$AD$202,A7,Coding!$Y$3:$Y$202,"Incomplete")</f>
        <v/>
      </c>
      <c r="G7" s="30">
        <f>COUNTIFS(Coding!$AD$3:$AD$202,A7,Coding!$Y$3:$Y$202,"Not started")</f>
        <v/>
      </c>
      <c r="H7" s="31">
        <f>IF(C7=0,0,D7/C7)</f>
        <v/>
      </c>
    </row>
    <row r="8">
      <c r="A8" s="30" t="n">
        <v>4</v>
      </c>
      <c r="B8" s="30" t="inlineStr">
        <is>
          <t>Clerks/Clerical Support Workers</t>
        </is>
      </c>
      <c r="C8" s="30">
        <f>COUNTIF(Coding!$AD$3:$AD$202,A8)</f>
        <v/>
      </c>
      <c r="D8" s="30">
        <f>COUNTIFS(Coding!$AD$3:$AD$202,A8,Coding!$Y$3:$Y$202,"Complete")</f>
        <v/>
      </c>
      <c r="E8" s="30">
        <f>COUNTIFS(Coding!$AD$3:$AD$202,A8,Coding!$Y$3:$Y$202,"Add evidence")</f>
        <v/>
      </c>
      <c r="F8" s="30">
        <f>COUNTIFS(Coding!$AD$3:$AD$202,A8,Coding!$Y$3:$Y$202,"Incomplete")</f>
        <v/>
      </c>
      <c r="G8" s="30">
        <f>COUNTIFS(Coding!$AD$3:$AD$202,A8,Coding!$Y$3:$Y$202,"Not started")</f>
        <v/>
      </c>
      <c r="H8" s="31">
        <f>IF(C8=0,0,D8/C8)</f>
        <v/>
      </c>
    </row>
    <row r="9">
      <c r="A9" s="30" t="n">
        <v>5</v>
      </c>
      <c r="B9" s="30" t="inlineStr">
        <is>
          <t>Service and Sales Workers</t>
        </is>
      </c>
      <c r="C9" s="30">
        <f>COUNTIF(Coding!$AD$3:$AD$202,A9)</f>
        <v/>
      </c>
      <c r="D9" s="30">
        <f>COUNTIFS(Coding!$AD$3:$AD$202,A9,Coding!$Y$3:$Y$202,"Complete")</f>
        <v/>
      </c>
      <c r="E9" s="30">
        <f>COUNTIFS(Coding!$AD$3:$AD$202,A9,Coding!$Y$3:$Y$202,"Add evidence")</f>
        <v/>
      </c>
      <c r="F9" s="30">
        <f>COUNTIFS(Coding!$AD$3:$AD$202,A9,Coding!$Y$3:$Y$202,"Incomplete")</f>
        <v/>
      </c>
      <c r="G9" s="30">
        <f>COUNTIFS(Coding!$AD$3:$AD$202,A9,Coding!$Y$3:$Y$202,"Not started")</f>
        <v/>
      </c>
      <c r="H9" s="31">
        <f>IF(C9=0,0,D9/C9)</f>
        <v/>
      </c>
    </row>
    <row r="10">
      <c r="A10" s="30" t="n">
        <v>6</v>
      </c>
      <c r="B10" s="30" t="inlineStr">
        <is>
          <t>Skilled Agricultural, Forestry and Fishery Workers</t>
        </is>
      </c>
      <c r="C10" s="30">
        <f>COUNTIF(Coding!$AD$3:$AD$202,A10)</f>
        <v/>
      </c>
      <c r="D10" s="30">
        <f>COUNTIFS(Coding!$AD$3:$AD$202,A10,Coding!$Y$3:$Y$202,"Complete")</f>
        <v/>
      </c>
      <c r="E10" s="30">
        <f>COUNTIFS(Coding!$AD$3:$AD$202,A10,Coding!$Y$3:$Y$202,"Add evidence")</f>
        <v/>
      </c>
      <c r="F10" s="30">
        <f>COUNTIFS(Coding!$AD$3:$AD$202,A10,Coding!$Y$3:$Y$202,"Incomplete")</f>
        <v/>
      </c>
      <c r="G10" s="30">
        <f>COUNTIFS(Coding!$AD$3:$AD$202,A10,Coding!$Y$3:$Y$202,"Not started")</f>
        <v/>
      </c>
      <c r="H10" s="31">
        <f>IF(C10=0,0,D10/C10)</f>
        <v/>
      </c>
    </row>
    <row r="11">
      <c r="A11" s="30" t="n">
        <v>7</v>
      </c>
      <c r="B11" s="30" t="inlineStr">
        <is>
          <t>Craft and Related Trades Workers</t>
        </is>
      </c>
      <c r="C11" s="30">
        <f>COUNTIF(Coding!$AD$3:$AD$202,A11)</f>
        <v/>
      </c>
      <c r="D11" s="30">
        <f>COUNTIFS(Coding!$AD$3:$AD$202,A11,Coding!$Y$3:$Y$202,"Complete")</f>
        <v/>
      </c>
      <c r="E11" s="30">
        <f>COUNTIFS(Coding!$AD$3:$AD$202,A11,Coding!$Y$3:$Y$202,"Add evidence")</f>
        <v/>
      </c>
      <c r="F11" s="30">
        <f>COUNTIFS(Coding!$AD$3:$AD$202,A11,Coding!$Y$3:$Y$202,"Incomplete")</f>
        <v/>
      </c>
      <c r="G11" s="30">
        <f>COUNTIFS(Coding!$AD$3:$AD$202,A11,Coding!$Y$3:$Y$202,"Not started")</f>
        <v/>
      </c>
      <c r="H11" s="31">
        <f>IF(C11=0,0,D11/C11)</f>
        <v/>
      </c>
    </row>
    <row r="12">
      <c r="A12" s="30" t="n">
        <v>8</v>
      </c>
      <c r="B12" s="30" t="inlineStr">
        <is>
          <t>Plant and Machine Operators, and Assemblers</t>
        </is>
      </c>
      <c r="C12" s="30">
        <f>COUNTIF(Coding!$AD$3:$AD$202,A12)</f>
        <v/>
      </c>
      <c r="D12" s="30">
        <f>COUNTIFS(Coding!$AD$3:$AD$202,A12,Coding!$Y$3:$Y$202,"Complete")</f>
        <v/>
      </c>
      <c r="E12" s="30">
        <f>COUNTIFS(Coding!$AD$3:$AD$202,A12,Coding!$Y$3:$Y$202,"Add evidence")</f>
        <v/>
      </c>
      <c r="F12" s="30">
        <f>COUNTIFS(Coding!$AD$3:$AD$202,A12,Coding!$Y$3:$Y$202,"Incomplete")</f>
        <v/>
      </c>
      <c r="G12" s="30">
        <f>COUNTIFS(Coding!$AD$3:$AD$202,A12,Coding!$Y$3:$Y$202,"Not started")</f>
        <v/>
      </c>
      <c r="H12" s="31">
        <f>IF(C12=0,0,D12/C12)</f>
        <v/>
      </c>
    </row>
    <row r="13">
      <c r="A13" s="30" t="n">
        <v>9</v>
      </c>
      <c r="B13" s="30" t="inlineStr">
        <is>
          <t>Elementary Occupations</t>
        </is>
      </c>
      <c r="C13" s="30">
        <f>COUNTIF(Coding!$AD$3:$AD$202,A13)</f>
        <v/>
      </c>
      <c r="D13" s="30">
        <f>COUNTIFS(Coding!$AD$3:$AD$202,A13,Coding!$Y$3:$Y$202,"Complete")</f>
        <v/>
      </c>
      <c r="E13" s="30">
        <f>COUNTIFS(Coding!$AD$3:$AD$202,A13,Coding!$Y$3:$Y$202,"Add evidence")</f>
        <v/>
      </c>
      <c r="F13" s="30">
        <f>COUNTIFS(Coding!$AD$3:$AD$202,A13,Coding!$Y$3:$Y$202,"Incomplete")</f>
        <v/>
      </c>
      <c r="G13" s="30">
        <f>COUNTIFS(Coding!$AD$3:$AD$202,A13,Coding!$Y$3:$Y$202,"Not started")</f>
        <v/>
      </c>
      <c r="H13" s="31">
        <f>IF(C13=0,0,D13/C13)</f>
        <v/>
      </c>
    </row>
    <row r="14">
      <c r="A14" s="32" t="n"/>
      <c r="B14" s="33" t="inlineStr">
        <is>
          <t>All divisions</t>
        </is>
      </c>
      <c r="C14" s="33">
        <f>SUM(C5:C13)</f>
        <v/>
      </c>
      <c r="D14" s="33">
        <f>SUM(D5:D13)</f>
        <v/>
      </c>
      <c r="E14" s="33">
        <f>SUM(E5:E13)</f>
        <v/>
      </c>
      <c r="F14" s="33">
        <f>SUM(F5:F13)</f>
        <v/>
      </c>
      <c r="G14" s="33">
        <f>SUM(G5:G13)</f>
        <v/>
      </c>
      <c r="H14" s="34">
        <f>IF(C14=0,0,D14/C14)</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Yes</t>
        </is>
      </c>
      <c r="B1" t="n">
        <v>0</v>
      </c>
      <c r="C1" t="n">
        <v>1</v>
      </c>
      <c r="D1" t="n">
        <v>0</v>
      </c>
      <c r="E1" t="inlineStr">
        <is>
          <t>Core</t>
        </is>
      </c>
      <c r="F1" t="inlineStr">
        <is>
          <t>More</t>
        </is>
      </c>
    </row>
    <row r="2">
      <c r="A2" t="inlineStr">
        <is>
          <t>Partly</t>
        </is>
      </c>
      <c r="B2" t="n">
        <v>1</v>
      </c>
      <c r="C2" t="n">
        <v>2</v>
      </c>
      <c r="D2" t="n">
        <v>1</v>
      </c>
      <c r="E2" t="inlineStr">
        <is>
          <t>Supporting</t>
        </is>
      </c>
      <c r="F2" t="inlineStr">
        <is>
          <t>Same</t>
        </is>
      </c>
    </row>
    <row r="3">
      <c r="A3" t="inlineStr">
        <is>
          <t>No</t>
        </is>
      </c>
      <c r="B3" t="n">
        <v>2</v>
      </c>
      <c r="C3" t="n">
        <v>3</v>
      </c>
      <c r="D3" t="n">
        <v>2</v>
      </c>
      <c r="E3" t="inlineStr">
        <is>
          <t>Not relevant</t>
        </is>
      </c>
      <c r="F3" t="inlineStr">
        <is>
          <t>Less</t>
        </is>
      </c>
    </row>
    <row r="4">
      <c r="B4" t="n">
        <v>3</v>
      </c>
      <c r="D4" t="n">
        <v>3</v>
      </c>
    </row>
    <row r="5">
      <c r="B5" t="n">
        <v>4</v>
      </c>
      <c r="D5" t="n">
        <v>4</v>
      </c>
    </row>
    <row r="6">
      <c r="D6" t="n">
        <v>5</v>
      </c>
    </row>
    <row r="7">
      <c r="D7" t="n">
        <v>6</v>
      </c>
    </row>
    <row r="8">
      <c r="D8" t="n">
        <v>7</v>
      </c>
    </row>
    <row r="9">
      <c r="D9" t="n">
        <v>8</v>
      </c>
    </row>
    <row r="10">
      <c r="D10" t="n">
        <v>9</v>
      </c>
    </row>
    <row r="11">
      <c r="D1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2026-10-18T05:02:53Z</dcterms:created>
  <dcterms:modified xmlns:dcterms="http://purl.org/dc/terms/" xmlns:xsi="http://www.w3.org/2001/XMLSchema-instance" xsi:type="dcterms:W3CDTF">2026-10-20T04:24:45Z</dcterms:modified>
</cp:coreProperties>
</file>